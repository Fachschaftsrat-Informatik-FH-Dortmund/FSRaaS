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showObjects="none" hidePivotFieldList="1"/>
  <mc:AlternateContent xmlns:mc="http://schemas.openxmlformats.org/markup-compatibility/2006">
    <mc:Choice Requires="x15">
      <x15ac:absPath xmlns:x15ac="http://schemas.microsoft.com/office/spreadsheetml/2010/11/ac" url="\\172.22.1.5\stgmgmt\Prüfungspläne\Prüfungspläne\20241\veröffentlicht\"/>
    </mc:Choice>
  </mc:AlternateContent>
  <xr:revisionPtr revIDLastSave="0" documentId="13_ncr:1_{492173A6-EC9D-412F-86FC-30369E8C7D40}" xr6:coauthVersionLast="47" xr6:coauthVersionMax="47" xr10:uidLastSave="{00000000-0000-0000-0000-000000000000}"/>
  <bookViews>
    <workbookView xWindow="-108" yWindow="-108" windowWidth="23256" windowHeight="12768" tabRatio="573" xr2:uid="{00000000-000D-0000-FFFF-FFFF00000000}"/>
  </bookViews>
  <sheets>
    <sheet name="PP" sheetId="14" r:id="rId1"/>
  </sheets>
  <definedNames>
    <definedName name="_FilterDatabase" localSheetId="0" hidden="1">PP!$A$9:$AG$260</definedName>
    <definedName name="_xlnm._FilterDatabase" localSheetId="0" hidden="1">PP!$A$9:$AG$283</definedName>
    <definedName name="hjk" localSheetId="0" hidden="1">PP!$B$9:$AG$260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6" i="14" l="1"/>
  <c r="B118" i="14"/>
  <c r="B10" i="14" l="1"/>
  <c r="B101" i="14"/>
  <c r="B41" i="14"/>
  <c r="B144" i="14"/>
  <c r="B87" i="14"/>
  <c r="B60" i="14"/>
  <c r="B25" i="14"/>
  <c r="B77" i="14"/>
  <c r="B68" i="14"/>
  <c r="B33" i="14"/>
  <c r="B58" i="14"/>
  <c r="B85" i="14"/>
  <c r="B140" i="14"/>
  <c r="B136" i="14"/>
  <c r="B134" i="14"/>
  <c r="B131" i="14"/>
  <c r="B128" i="14"/>
  <c r="B123" i="14"/>
  <c r="B120" i="14"/>
  <c r="B116" i="14"/>
  <c r="B111" i="14"/>
  <c r="B108" i="14"/>
  <c r="B105" i="14"/>
  <c r="B100" i="14"/>
  <c r="B94" i="14"/>
  <c r="B88" i="14"/>
  <c r="B81" i="14"/>
  <c r="B78" i="14"/>
  <c r="B73" i="14"/>
  <c r="B70" i="14"/>
  <c r="B62" i="14"/>
  <c r="B56" i="14"/>
  <c r="B48" i="14"/>
  <c r="B43" i="14"/>
  <c r="B36" i="14"/>
  <c r="B257" i="14" l="1"/>
  <c r="B238" i="14"/>
  <c r="B132" i="14" l="1"/>
  <c r="B31" i="14"/>
  <c r="B23" i="14"/>
  <c r="B283" i="14"/>
  <c r="B138" i="14"/>
  <c r="B282" i="14"/>
  <c r="B45" i="14"/>
  <c r="B281" i="14"/>
  <c r="B98" i="14"/>
  <c r="B79" i="14"/>
  <c r="B279" i="14"/>
  <c r="B104" i="14"/>
  <c r="B237" i="14"/>
  <c r="B236" i="14"/>
  <c r="B234" i="14"/>
  <c r="B76" i="14"/>
  <c r="B277" i="14"/>
  <c r="B276" i="14"/>
  <c r="B230" i="14"/>
  <c r="B228" i="14"/>
  <c r="B119" i="14"/>
  <c r="B124" i="14"/>
  <c r="B75" i="14"/>
  <c r="B275" i="14"/>
  <c r="B274" i="14"/>
  <c r="B216" i="14"/>
  <c r="B215" i="14"/>
  <c r="B213" i="14"/>
  <c r="B86" i="14"/>
  <c r="B122" i="14"/>
  <c r="B212" i="14"/>
  <c r="B40" i="14"/>
  <c r="B129" i="14"/>
  <c r="B146" i="14"/>
  <c r="B273" i="14"/>
  <c r="B211" i="14"/>
  <c r="B272" i="14"/>
  <c r="B210" i="14"/>
  <c r="B71" i="14"/>
  <c r="B209" i="14"/>
  <c r="B269" i="14"/>
  <c r="B208" i="14"/>
  <c r="B207" i="14"/>
  <c r="B268" i="14"/>
  <c r="B203" i="14"/>
  <c r="B74" i="14"/>
  <c r="B92" i="14"/>
  <c r="B67" i="14"/>
  <c r="B91" i="14"/>
  <c r="B109" i="14"/>
  <c r="B80" i="14"/>
  <c r="B142" i="14"/>
  <c r="B141" i="14"/>
  <c r="B27" i="14"/>
  <c r="B26" i="14"/>
  <c r="B83" i="14"/>
  <c r="B90" i="14"/>
  <c r="B82" i="14"/>
  <c r="B65" i="14"/>
  <c r="B66" i="14"/>
  <c r="B64" i="14"/>
  <c r="B38" i="14"/>
  <c r="B266" i="14"/>
  <c r="B200" i="14"/>
  <c r="B265" i="14"/>
  <c r="B198" i="14"/>
  <c r="B55" i="14"/>
  <c r="B197" i="14"/>
  <c r="B130" i="14"/>
  <c r="B263" i="14"/>
  <c r="B261" i="14"/>
  <c r="B195" i="14"/>
  <c r="B50" i="14"/>
  <c r="B107" i="14"/>
  <c r="B191" i="14"/>
  <c r="B190" i="14"/>
  <c r="B260" i="14"/>
  <c r="B189" i="14"/>
  <c r="B259" i="14"/>
  <c r="B96" i="14"/>
  <c r="B51" i="14"/>
  <c r="B184" i="14"/>
  <c r="B145" i="14"/>
  <c r="B103" i="14"/>
  <c r="B182" i="14"/>
  <c r="B181" i="14"/>
  <c r="B95" i="14"/>
  <c r="B37" i="14"/>
  <c r="B54" i="14"/>
  <c r="B53" i="14"/>
  <c r="B115" i="14"/>
  <c r="B179" i="14"/>
  <c r="B69" i="14"/>
  <c r="B72" i="14"/>
  <c r="B177" i="14"/>
  <c r="B256" i="14"/>
  <c r="B57" i="14"/>
  <c r="B59" i="14"/>
  <c r="B255" i="14"/>
  <c r="B254" i="14"/>
  <c r="B34" i="14"/>
  <c r="B114" i="14"/>
  <c r="B172" i="14"/>
  <c r="B137" i="14"/>
  <c r="B250" i="14"/>
  <c r="B167" i="14"/>
  <c r="B166" i="14"/>
  <c r="B113" i="14"/>
  <c r="B165" i="14"/>
  <c r="B164" i="14"/>
  <c r="B205" i="14"/>
  <c r="B204" i="14"/>
  <c r="B127" i="14"/>
  <c r="B201" i="14"/>
  <c r="B199" i="14"/>
  <c r="B106" i="14"/>
  <c r="B61" i="14"/>
  <c r="B89" i="14"/>
  <c r="B175" i="14"/>
  <c r="B174" i="14"/>
  <c r="B173" i="14"/>
  <c r="B168" i="14"/>
  <c r="B99" i="14"/>
  <c r="B126" i="14"/>
  <c r="B147" i="14"/>
  <c r="B214" i="14"/>
  <c r="B110" i="14"/>
  <c r="B121" i="14"/>
  <c r="B102" i="14"/>
  <c r="B117" i="14"/>
  <c r="B218" i="14"/>
  <c r="B222" i="14"/>
  <c r="B220" i="14"/>
  <c r="B135" i="14"/>
  <c r="B178" i="14"/>
  <c r="B280" i="14"/>
  <c r="B143" i="14"/>
  <c r="B28" i="14"/>
  <c r="B235" i="14"/>
  <c r="B224" i="14"/>
  <c r="B226" i="14"/>
  <c r="B225" i="14"/>
  <c r="B93" i="14"/>
  <c r="B63" i="14"/>
  <c r="B97" i="14"/>
  <c r="B125" i="14"/>
  <c r="B112" i="14"/>
  <c r="B202" i="14"/>
  <c r="B52" i="14"/>
  <c r="B35" i="14"/>
  <c r="B242" i="14"/>
  <c r="B253" i="14"/>
  <c r="B133" i="14"/>
  <c r="B21" i="14"/>
  <c r="B196" i="14"/>
  <c r="B262" i="14"/>
  <c r="B170" i="14"/>
  <c r="B19" i="14"/>
  <c r="B139" i="14"/>
  <c r="B187" i="14"/>
  <c r="B169" i="14"/>
  <c r="B232" i="14"/>
  <c r="B18" i="14"/>
  <c r="B258" i="14"/>
  <c r="B47" i="14"/>
  <c r="B20" i="14"/>
  <c r="B22" i="14"/>
  <c r="B12" i="14"/>
  <c r="B13" i="14"/>
  <c r="B17" i="14"/>
  <c r="B14" i="14"/>
  <c r="B84" i="14"/>
  <c r="B11" i="14"/>
  <c r="B30" i="14"/>
  <c r="B32" i="14"/>
  <c r="B16" i="14"/>
  <c r="B15" i="14"/>
  <c r="B42" i="14"/>
  <c r="B24" i="14"/>
  <c r="B49" i="14"/>
  <c r="B39" i="14"/>
  <c r="B44" i="14"/>
  <c r="B29" i="14"/>
  <c r="B46" i="14"/>
  <c r="E1" i="14"/>
</calcChain>
</file>

<file path=xl/sharedStrings.xml><?xml version="1.0" encoding="utf-8"?>
<sst xmlns="http://schemas.openxmlformats.org/spreadsheetml/2006/main" count="2389" uniqueCount="666">
  <si>
    <t>Veranstaltung im WS</t>
  </si>
  <si>
    <t xml:space="preserve">Studiengang: </t>
  </si>
  <si>
    <t>B INF</t>
  </si>
  <si>
    <t>B WI</t>
  </si>
  <si>
    <t>B SST</t>
  </si>
  <si>
    <t>M INF</t>
  </si>
  <si>
    <t>M MI</t>
  </si>
  <si>
    <t>letzte Änderungen
rot hinterlegt</t>
  </si>
  <si>
    <t>Stand:</t>
  </si>
  <si>
    <t>Veranstaltung im SS</t>
  </si>
  <si>
    <t>Vertiefung:</t>
  </si>
  <si>
    <t>Pr</t>
  </si>
  <si>
    <t>Te</t>
  </si>
  <si>
    <t>Veranstaltung im WS und SS</t>
  </si>
  <si>
    <t xml:space="preserve">PO: </t>
  </si>
  <si>
    <t>19</t>
  </si>
  <si>
    <t>18</t>
  </si>
  <si>
    <t>keine Veranstaltung (mehr)</t>
  </si>
  <si>
    <t>Laufzeit bis:</t>
  </si>
  <si>
    <t>WT</t>
  </si>
  <si>
    <t>Datum</t>
  </si>
  <si>
    <t>Num.</t>
  </si>
  <si>
    <t>Name</t>
  </si>
  <si>
    <t>079</t>
  </si>
  <si>
    <t>B13</t>
  </si>
  <si>
    <t>LP</t>
  </si>
  <si>
    <t xml:space="preserve">Semesterbegleitende   </t>
  </si>
  <si>
    <t xml:space="preserve">Semesterabschließende </t>
  </si>
  <si>
    <t>Studienleistungen</t>
  </si>
  <si>
    <t xml:space="preserve"> Prüfungsleistung </t>
  </si>
  <si>
    <t>Form</t>
  </si>
  <si>
    <t>in %</t>
  </si>
  <si>
    <t>Form / Zeit</t>
  </si>
  <si>
    <t>Hilfsmittel</t>
  </si>
  <si>
    <t>RT 66,6%</t>
  </si>
  <si>
    <t>Ref</t>
  </si>
  <si>
    <t>-</t>
  </si>
  <si>
    <t>Mathematik für Informatik 4 (MI)</t>
  </si>
  <si>
    <t>Signal- und Bildverarbeitung für die Medizin</t>
  </si>
  <si>
    <t>1 handschriftliches A4 Blatt im Original &amp; nicht-programmierbarer Taschenrechner</t>
  </si>
  <si>
    <t>Friedrich</t>
  </si>
  <si>
    <t>W</t>
  </si>
  <si>
    <t>W
Te</t>
  </si>
  <si>
    <t>Kamsties</t>
  </si>
  <si>
    <t>Angewandte Logiken</t>
  </si>
  <si>
    <t>Bab</t>
  </si>
  <si>
    <t>HA + Ref</t>
  </si>
  <si>
    <t>Lern- u. Arbeitstechniken (Vorziehen und Wiederholen im Rahmen freier Kapazitäten)</t>
  </si>
  <si>
    <t>RT 80 %</t>
  </si>
  <si>
    <t>HA</t>
  </si>
  <si>
    <t>1 handschriftliches A4 Blatt im Original</t>
  </si>
  <si>
    <t>Mathematik für Informatik 1</t>
  </si>
  <si>
    <t>Theoretische Informatik</t>
  </si>
  <si>
    <t>Miniklausuren</t>
  </si>
  <si>
    <t>Hessel-von Molo</t>
  </si>
  <si>
    <t>Lineare Algebra</t>
  </si>
  <si>
    <t>Lenze</t>
  </si>
  <si>
    <t>Künstliche Intelligenz</t>
  </si>
  <si>
    <t>Programmier-aufgaben</t>
  </si>
  <si>
    <t>MP</t>
  </si>
  <si>
    <t>Hofberg (B)</t>
  </si>
  <si>
    <t>Allgemeine BWL / Unternehmensführung</t>
  </si>
  <si>
    <t>Mörchel</t>
  </si>
  <si>
    <t>Kuhnt</t>
  </si>
  <si>
    <t>Böckmann</t>
  </si>
  <si>
    <t>Kommerzielle Anwendungssysteme der MI</t>
  </si>
  <si>
    <t>IT</t>
  </si>
  <si>
    <t>Haas</t>
  </si>
  <si>
    <t>Informationssysteme im Gesundheitswesen</t>
  </si>
  <si>
    <t>Becker</t>
  </si>
  <si>
    <t xml:space="preserve">Kostenmanagement </t>
  </si>
  <si>
    <t>Boehle</t>
  </si>
  <si>
    <t>Be</t>
  </si>
  <si>
    <t>Beck</t>
  </si>
  <si>
    <t>DV-Recht</t>
  </si>
  <si>
    <t>Bohne</t>
  </si>
  <si>
    <t>Wolmerath</t>
  </si>
  <si>
    <t>IT-Infrastruktur</t>
  </si>
  <si>
    <t>IT-Netze</t>
  </si>
  <si>
    <t>In</t>
  </si>
  <si>
    <t>Technisches Englisch (Einstufungs-Test vor Veranstaltungsanfang ist Pflicht, 'Aktuelles' beachten!)</t>
  </si>
  <si>
    <t>Königsmann</t>
  </si>
  <si>
    <t>DV in der Logistik</t>
  </si>
  <si>
    <t>Cirullies</t>
  </si>
  <si>
    <t>Graf</t>
  </si>
  <si>
    <t>Unternehmenslogistik</t>
  </si>
  <si>
    <t>N.N.</t>
  </si>
  <si>
    <t>Projektmanagement</t>
  </si>
  <si>
    <t>Verteilte und mobile Systeme</t>
  </si>
  <si>
    <t>Ecke-Schüth</t>
  </si>
  <si>
    <t>Software, Dokumentation und Präsentation</t>
  </si>
  <si>
    <t>Röhrig</t>
  </si>
  <si>
    <t>Software-projekt</t>
  </si>
  <si>
    <t>Wiesmann</t>
  </si>
  <si>
    <t>System- und Softwarequalitätssicherung</t>
  </si>
  <si>
    <t>Dokumentation und Präsentation</t>
  </si>
  <si>
    <t>Entwicklung verteilter Anwendungen</t>
  </si>
  <si>
    <t>W
Pr</t>
  </si>
  <si>
    <t>Sachweh</t>
  </si>
  <si>
    <t>Datenbanken 1</t>
  </si>
  <si>
    <t>Engels</t>
  </si>
  <si>
    <t>Saatz</t>
  </si>
  <si>
    <t>Informations- und Business Performance Management</t>
  </si>
  <si>
    <t>Human Resource Management und Organisation</t>
  </si>
  <si>
    <t>Faix</t>
  </si>
  <si>
    <t>Adaptive Systeme</t>
  </si>
  <si>
    <t>Medizinisches Softwareprojekt</t>
  </si>
  <si>
    <t>5</t>
  </si>
  <si>
    <t>PA</t>
  </si>
  <si>
    <t>Kukuk</t>
  </si>
  <si>
    <t>Digitale Bildverarbeitung</t>
  </si>
  <si>
    <t>3D Computersehen und Erweiterte Realitäten für die Medizin</t>
  </si>
  <si>
    <t>Me</t>
  </si>
  <si>
    <t xml:space="preserve"> Software-framework und Miniprojekt</t>
  </si>
  <si>
    <t>Schiprowski (B)</t>
  </si>
  <si>
    <t>Maschinelles Lernen</t>
  </si>
  <si>
    <t>Fo</t>
  </si>
  <si>
    <t>Gröner</t>
  </si>
  <si>
    <t>Niehüser</t>
  </si>
  <si>
    <t>Taschenrechner</t>
  </si>
  <si>
    <t>Fortgeschrittenes Geschäftsprozessmanagement</t>
  </si>
  <si>
    <t>Wi</t>
  </si>
  <si>
    <t>IT-Controlling</t>
  </si>
  <si>
    <t>Mobile Business and Mobile Systems</t>
  </si>
  <si>
    <t>Mobile Anwendungen und Systeme</t>
  </si>
  <si>
    <t>C-Business</t>
  </si>
  <si>
    <t xml:space="preserve">Grundlagen der Medizinischen Informatik </t>
  </si>
  <si>
    <t>Medizinische Grundlagen der Medizininformatik</t>
  </si>
  <si>
    <t>Frömke</t>
  </si>
  <si>
    <t>Telematik und Telemedizin</t>
  </si>
  <si>
    <t>Wissensbasierte Methoden und Systeme für die Medizin</t>
  </si>
  <si>
    <t>00107</t>
  </si>
  <si>
    <t>Praxisseminar / Praxissemester</t>
  </si>
  <si>
    <t>Mjildi (B)</t>
  </si>
  <si>
    <t>Hamburg</t>
  </si>
  <si>
    <t>Ausgewählte Aspekte der Informationssicherheit (alt: IT-Sicherheit)</t>
  </si>
  <si>
    <t>Referat</t>
  </si>
  <si>
    <t>Usability Engineering</t>
  </si>
  <si>
    <t>Harrer</t>
  </si>
  <si>
    <t>Reimann</t>
  </si>
  <si>
    <t>Kooperative Systeme</t>
  </si>
  <si>
    <t>Mensch-Computer-Interaktion</t>
  </si>
  <si>
    <t>3/ W</t>
  </si>
  <si>
    <t>Angewandte Mikro- und Makroökonomie</t>
  </si>
  <si>
    <t>nicht programmierbarer Taschenrechner</t>
  </si>
  <si>
    <t>Embedded Systems</t>
  </si>
  <si>
    <t>Hesseler</t>
  </si>
  <si>
    <t xml:space="preserve">Analysis </t>
  </si>
  <si>
    <t>ERP 1 (WI) / Standardsoftware (ERP Systeme) (INF,MI,SWT,SST)</t>
  </si>
  <si>
    <t>Kunau</t>
  </si>
  <si>
    <t>Industrieseminar</t>
  </si>
  <si>
    <t>Hirsch</t>
  </si>
  <si>
    <t>Entwicklung softwareintensiver Systeme</t>
  </si>
  <si>
    <t>Formale Methoden der Softwaretechnik</t>
  </si>
  <si>
    <t xml:space="preserve"> schriftliche Aufgabe</t>
  </si>
  <si>
    <t>Informationswirtschaft</t>
  </si>
  <si>
    <t>Hoffmann</t>
  </si>
  <si>
    <t>1 handschriftliches A4 Blatt im Original beidseitig</t>
  </si>
  <si>
    <t xml:space="preserve">Angewandte Unternehmensführung (Teilnahme Planspiel nur bei Klausurteilnahme oder freien Kapazitäten) </t>
  </si>
  <si>
    <t>Hofnagel</t>
  </si>
  <si>
    <t>4/
W</t>
  </si>
  <si>
    <t>RT 90 %</t>
  </si>
  <si>
    <t>Quarg</t>
  </si>
  <si>
    <t>Buchführung und Jahresabschluss</t>
  </si>
  <si>
    <t>Kißler</t>
  </si>
  <si>
    <t>Kosten-, Erlös- und Ergebnisrechnung</t>
  </si>
  <si>
    <t>BWL</t>
  </si>
  <si>
    <t>Wolff</t>
  </si>
  <si>
    <t>Fortgeschrittenes Web-Engineering</t>
  </si>
  <si>
    <t>Jörges</t>
  </si>
  <si>
    <t>Schlesinger (B)</t>
  </si>
  <si>
    <t>Programmierkurs</t>
  </si>
  <si>
    <t>Praktikums-aufgaben</t>
  </si>
  <si>
    <t>Web-Technologien</t>
  </si>
  <si>
    <t>Projektarbeit</t>
  </si>
  <si>
    <t>Marktorientiertes Innovationsmanagement</t>
  </si>
  <si>
    <t>Kamenz</t>
  </si>
  <si>
    <t>Internet Management</t>
  </si>
  <si>
    <t>Echtzeitsysteme</t>
  </si>
  <si>
    <t>Rechnerstrukturen und Betriebssysteme 1</t>
  </si>
  <si>
    <t>Rechnerstrukturen und Betriebssysteme 2</t>
  </si>
  <si>
    <t>Programmierkurs 2 TI</t>
  </si>
  <si>
    <t>Requirements Engineering</t>
  </si>
  <si>
    <t>Logistikmanagement</t>
  </si>
  <si>
    <t>Algorithmen und Datenstrukturen</t>
  </si>
  <si>
    <t>Stark</t>
  </si>
  <si>
    <t>Einführung in die Programmierung</t>
  </si>
  <si>
    <t>Softwareentwicklung technischer Systeme</t>
  </si>
  <si>
    <t>Multimodale Interaktion in Ambienten Umgebungen</t>
  </si>
  <si>
    <t>Softwarepraktikum</t>
  </si>
  <si>
    <t>Rechnerarchitektur und Betriebssysteme</t>
  </si>
  <si>
    <t>ERP in der Produktion</t>
  </si>
  <si>
    <t>Körnich</t>
  </si>
  <si>
    <t>Angewandte Statistik</t>
  </si>
  <si>
    <t>Referate und projektbezogene Arbeit</t>
  </si>
  <si>
    <t>Data Mining in Industrie und Wirtschaft</t>
  </si>
  <si>
    <t>Anwendungen der MI</t>
  </si>
  <si>
    <t>1-3</t>
  </si>
  <si>
    <t>Diagnose- und Therapiesysteme für die Medizin</t>
  </si>
  <si>
    <t>Fortgeschrittene Methoden der Signal- und Bildverarbeitung für die Medizin</t>
  </si>
  <si>
    <t>Visualisierungen und Interaktion für die Medizin</t>
  </si>
  <si>
    <t>Einführung in die Wirtschaftsinformatik 1</t>
  </si>
  <si>
    <t>Informatik und Gesellschaft</t>
  </si>
  <si>
    <t>Aktive Teilnahme im Diskussionsforum</t>
  </si>
  <si>
    <t>Personalführung</t>
  </si>
  <si>
    <t>Ma</t>
  </si>
  <si>
    <t>Aufgaben</t>
  </si>
  <si>
    <t>BWL-Anwendungen</t>
  </si>
  <si>
    <t>Projektaufgabe + MP</t>
  </si>
  <si>
    <t>Seminar Trends der Softwaretechnik</t>
  </si>
  <si>
    <t>Lauenroth</t>
  </si>
  <si>
    <t>Mathematik für Informatiker 2</t>
  </si>
  <si>
    <t>Mathematische Grundlagen der Verschlüsselungstechnik</t>
  </si>
  <si>
    <t>Mathematik und Quantum Computing</t>
  </si>
  <si>
    <t>Componentware</t>
  </si>
  <si>
    <t>Beschaffungsmanagement</t>
  </si>
  <si>
    <t>Meinke</t>
  </si>
  <si>
    <t>Thorn</t>
  </si>
  <si>
    <t>SCM-Anwendungen</t>
  </si>
  <si>
    <t>Investition und Finanzierung</t>
  </si>
  <si>
    <t>Müller, Wolfgang</t>
  </si>
  <si>
    <t>Systemprogrammierung</t>
  </si>
  <si>
    <t>XML</t>
  </si>
  <si>
    <t>Sicherheits- und Servicemanagement</t>
  </si>
  <si>
    <t>Prozessmanagement und Organisationsentwicklung im Gesundheitswesen</t>
  </si>
  <si>
    <t>Gestaltung mit elektronischen Medien</t>
  </si>
  <si>
    <t>Neumann</t>
  </si>
  <si>
    <t>Business Intelligence</t>
  </si>
  <si>
    <t>Studienmanagement und Software</t>
  </si>
  <si>
    <t>Nonnemacher</t>
  </si>
  <si>
    <t>Epidemiologie und Versorgungsforschung</t>
  </si>
  <si>
    <t>Pieper</t>
  </si>
  <si>
    <t>Prof FB4</t>
  </si>
  <si>
    <t>6</t>
  </si>
  <si>
    <t>15</t>
  </si>
  <si>
    <t>Masterprojekt 1</t>
  </si>
  <si>
    <t>F&amp;E Projekt</t>
  </si>
  <si>
    <t>Masterseminar</t>
  </si>
  <si>
    <t>Masterprojekt 2</t>
  </si>
  <si>
    <t>3</t>
  </si>
  <si>
    <t>9</t>
  </si>
  <si>
    <t>Prof FB4/9</t>
  </si>
  <si>
    <t>Masterprojekt</t>
  </si>
  <si>
    <t>Wissenschaftliches Kolloquium</t>
  </si>
  <si>
    <t>IT-Landschaft - Betrieb und Steuerung</t>
  </si>
  <si>
    <t>Recker</t>
  </si>
  <si>
    <t xml:space="preserve">Monitoring, Störungsanalyse und -behebung </t>
  </si>
  <si>
    <t>Seminar Trends der Systemtechnik</t>
  </si>
  <si>
    <t>Integrations-Praktikum</t>
  </si>
  <si>
    <t>IHK-Projekt (im Betrieb)</t>
  </si>
  <si>
    <t>Programmierkurs Systemintegration</t>
  </si>
  <si>
    <t xml:space="preserve">IT-Landschaft - Planung und Umsetzung </t>
  </si>
  <si>
    <t>IT-Servicemanagement</t>
  </si>
  <si>
    <t>Rettinger</t>
  </si>
  <si>
    <t>Formale Sprachen 
und Compilerbau</t>
  </si>
  <si>
    <t>Berechenbarkeit und Komplexitätstheorie</t>
  </si>
  <si>
    <t>Preis</t>
  </si>
  <si>
    <t>Effiziente Algorithmen und Datenstrukturen</t>
  </si>
  <si>
    <t>Operations Research</t>
  </si>
  <si>
    <t>Automatisierungstechnik</t>
  </si>
  <si>
    <t>Robotik</t>
  </si>
  <si>
    <t>Internet der Dinge</t>
  </si>
  <si>
    <t>Autonome mobile Systeme</t>
  </si>
  <si>
    <t>Marketing</t>
  </si>
  <si>
    <t>Moderne Datenbanken</t>
  </si>
  <si>
    <t>Physik</t>
  </si>
  <si>
    <t>Brotze (B)</t>
  </si>
  <si>
    <t>Datenbanken 2</t>
  </si>
  <si>
    <t>Vollmer</t>
  </si>
  <si>
    <t>Softwaretechnik 2</t>
  </si>
  <si>
    <t>Einführung in die Wirtschaftsinformatik 2</t>
  </si>
  <si>
    <t>Controlling</t>
  </si>
  <si>
    <t>Schönberg</t>
  </si>
  <si>
    <t>Fortgeschrittenes Projektmanagement</t>
  </si>
  <si>
    <t>Fortgeschrittene BWL</t>
  </si>
  <si>
    <t>Schopphoff</t>
  </si>
  <si>
    <t>Numerische Algorithmen</t>
  </si>
  <si>
    <t>Angewandte Mathematik</t>
  </si>
  <si>
    <t>Finanzmanagement</t>
  </si>
  <si>
    <t>Hardware/Software Kodesign</t>
  </si>
  <si>
    <t>Hardware Engineering</t>
  </si>
  <si>
    <t>Virtualisierung und Cloud Computing</t>
  </si>
  <si>
    <t>Kommunikations- und Rechnernetze</t>
  </si>
  <si>
    <t>Visualisierung</t>
  </si>
  <si>
    <t>Vortrag</t>
  </si>
  <si>
    <t>Computergraphik</t>
  </si>
  <si>
    <t>Kommunikation und Kundenorientierung</t>
  </si>
  <si>
    <t>Steffes</t>
  </si>
  <si>
    <t>Produktionsmanagement</t>
  </si>
  <si>
    <t>Softwaretechnik 1</t>
  </si>
  <si>
    <t>Mobile App Engineering</t>
  </si>
  <si>
    <t>Org./rechtliche Aspekte von IT-Beschaffungen</t>
  </si>
  <si>
    <t>ERP 2</t>
  </si>
  <si>
    <t>Programmierkurs 1</t>
  </si>
  <si>
    <t>Programmierkurs 2</t>
  </si>
  <si>
    <t>Strategisches Arbeitsrecht</t>
  </si>
  <si>
    <t>Zumkehr</t>
  </si>
  <si>
    <t>Elektronik</t>
  </si>
  <si>
    <t>Serielle Bussysteme</t>
  </si>
  <si>
    <t>Telemedizinische Methoden und Werkzeuge/Anwendungen</t>
  </si>
  <si>
    <t xml:space="preserve"> </t>
  </si>
  <si>
    <t>Künemund</t>
  </si>
  <si>
    <t>Teschler-Nunkesser</t>
  </si>
  <si>
    <t xml:space="preserve"> Harrer, Reimann</t>
  </si>
  <si>
    <t>Hansemann</t>
  </si>
  <si>
    <t xml:space="preserve">Mathematik für Informatik 4  </t>
  </si>
  <si>
    <t>Unternehmenspraxisarbeit</t>
  </si>
  <si>
    <t xml:space="preserve">Rettinger </t>
  </si>
  <si>
    <t>W/1-3</t>
  </si>
  <si>
    <t>Projektaufgabe</t>
  </si>
  <si>
    <t>Projekt</t>
  </si>
  <si>
    <t>Grundlagen des Geschäftsprozessmanagements</t>
  </si>
  <si>
    <t>RT 80%</t>
  </si>
  <si>
    <t>Praktikumsaufgabe mit Programmierung</t>
  </si>
  <si>
    <t>Lindenbeck</t>
  </si>
  <si>
    <t>Programmieraufgaben</t>
  </si>
  <si>
    <t>projektbezogene Arbeit</t>
  </si>
  <si>
    <t>Regelmäßige Teilnahme in %</t>
  </si>
  <si>
    <t>Bestellte/r Prüfer/in bei Zulassung</t>
  </si>
  <si>
    <t>Mat</t>
  </si>
  <si>
    <t>WS+SS</t>
  </si>
  <si>
    <t>Prüfer/in</t>
  </si>
  <si>
    <t>1 handschriftliches (beidseitig) A4 Blatt im Original</t>
  </si>
  <si>
    <t xml:space="preserve">HA 
Ref </t>
  </si>
  <si>
    <t>Wenger</t>
  </si>
  <si>
    <t>Klimke</t>
  </si>
  <si>
    <t>IT-Management von Gesundheitseinrichtungen</t>
  </si>
  <si>
    <t>Hausarbeit + 15 min Präsentation</t>
  </si>
  <si>
    <t>Praktikumsaufgaben</t>
  </si>
  <si>
    <t>1 handschriftliches A4 Blatt im Original (beidseitig beschrieben)</t>
  </si>
  <si>
    <t>Praktikum + Übung (Bonuspunkte)</t>
  </si>
  <si>
    <t>M WI</t>
  </si>
  <si>
    <t>277
721</t>
  </si>
  <si>
    <t>Anwendungsprogrammierung für die Medizin</t>
  </si>
  <si>
    <t>Rechnerarchitekturen</t>
  </si>
  <si>
    <t>33.33%</t>
  </si>
  <si>
    <t>Schön</t>
  </si>
  <si>
    <t>Spiekermann</t>
  </si>
  <si>
    <t>Entwicklung von Computerspielen</t>
  </si>
  <si>
    <t>Trends der Künstlichen Intelligenz in der Wirtschaftsinformatik</t>
  </si>
  <si>
    <t>21</t>
  </si>
  <si>
    <t>5/W</t>
  </si>
  <si>
    <t>4/W</t>
  </si>
  <si>
    <t>Seminar Trends der Medizinischen Informatik</t>
  </si>
  <si>
    <t>ein (doppelseitig) in eigener Handschrift beschriebenes A4-Blatt mit Exerpten aus Vorlesung und Übungen</t>
  </si>
  <si>
    <t xml:space="preserve">Praktikumsprojekt </t>
  </si>
  <si>
    <t>Formelsammlung &amp; nicht-programmierbarer Taschenrechner</t>
  </si>
  <si>
    <t>Gregor</t>
  </si>
  <si>
    <t>ERP und SCE: Standardprozesse und Erweiterungskonzepte</t>
  </si>
  <si>
    <t>Einfluss der Digitalisierung auf Unternehmensorganisation und Change Management</t>
  </si>
  <si>
    <t>Scheidler</t>
  </si>
  <si>
    <t>Bonuspraktikum</t>
  </si>
  <si>
    <t>Projektwoche - Einführung in die Programmierung</t>
  </si>
  <si>
    <t>Köster</t>
  </si>
  <si>
    <t xml:space="preserve">Zeit </t>
  </si>
  <si>
    <r>
      <t xml:space="preserve">Prüfer/in FB4
</t>
    </r>
    <r>
      <rPr>
        <b/>
        <sz val="10"/>
        <color rgb="FFFF0000"/>
        <rFont val="Meta Offc Pro"/>
        <family val="2"/>
      </rPr>
      <t xml:space="preserve">Prüfer/in FB9
</t>
    </r>
    <r>
      <rPr>
        <b/>
        <sz val="10"/>
        <color rgb="FF00B050"/>
        <rFont val="Meta Offc Pro"/>
        <family val="2"/>
      </rPr>
      <t xml:space="preserve">Prüfer/in UDE
</t>
    </r>
    <r>
      <rPr>
        <sz val="10"/>
        <rFont val="Meta Offc Pro"/>
        <family val="2"/>
      </rPr>
      <t>Normale Schriftstärke: Mitarbeiter, Lehrbeauftragte</t>
    </r>
  </si>
  <si>
    <t xml:space="preserve">Systems Engineering </t>
  </si>
  <si>
    <t>Kl 120</t>
  </si>
  <si>
    <t>Kl 60</t>
  </si>
  <si>
    <t xml:space="preserve"> Kl 120</t>
  </si>
  <si>
    <t>Wizenty (B)</t>
  </si>
  <si>
    <t>Kl 90</t>
  </si>
  <si>
    <t>Miniprojekt und Vortrag</t>
  </si>
  <si>
    <t>nicht-programmierbarer Taschenrechner</t>
  </si>
  <si>
    <t xml:space="preserve">Miniprojekt </t>
  </si>
  <si>
    <t>Gruppenarbeit Praktikum</t>
  </si>
  <si>
    <t>7</t>
  </si>
  <si>
    <t>118 721</t>
  </si>
  <si>
    <t>alle Hilfsmittel erlaubt</t>
  </si>
  <si>
    <t>MP, 30 min</t>
  </si>
  <si>
    <t xml:space="preserve">Projektaufgabe </t>
  </si>
  <si>
    <t xml:space="preserve">Kl 60 </t>
  </si>
  <si>
    <t>Ref + MP</t>
  </si>
  <si>
    <t>Praktikumsprotokolle und Aufgabenpräsentation</t>
  </si>
  <si>
    <t>Taschenrechner, Formelsammlung, selbstbeschriebenes DIN A4-Blatt</t>
  </si>
  <si>
    <t>Kubik</t>
  </si>
  <si>
    <t>Hausarbeit, Präsentation</t>
  </si>
  <si>
    <t>Planspiel</t>
  </si>
  <si>
    <t>Hausarbeit, Referat</t>
  </si>
  <si>
    <t>Dechange</t>
  </si>
  <si>
    <t>Albrecht</t>
  </si>
  <si>
    <t>Seminararbeit, Präsentation</t>
  </si>
  <si>
    <t>HA + Präsentation</t>
  </si>
  <si>
    <t>Miniprojekt und Präsentation</t>
  </si>
  <si>
    <t>Bounuspunkte</t>
  </si>
  <si>
    <t xml:space="preserve">Kl 90 </t>
  </si>
  <si>
    <t>Präsentation und Ausarbeitung</t>
  </si>
  <si>
    <t>Jakob</t>
  </si>
  <si>
    <t>Präsentation in den Übungen (3,00%) + Praktikumsaufgaben (10,00%)</t>
  </si>
  <si>
    <t>Kl 120 (Programmierprüfung im Labor)</t>
  </si>
  <si>
    <t>Hausarbeit mit Kolloquium</t>
  </si>
  <si>
    <t>Semsterbegleitende Prüfungsleistung</t>
  </si>
  <si>
    <t>Bearbeitung von Übungsaufgaben</t>
  </si>
  <si>
    <t>ein handschriftliches (beidseitig) A4 Blatt im Original</t>
  </si>
  <si>
    <t>Ausarbeitung mit Vortrag</t>
  </si>
  <si>
    <t>Programmierkurs Anwendungsentwickler</t>
  </si>
  <si>
    <t xml:space="preserve">IT-Recht </t>
  </si>
  <si>
    <t>Softwaretechnik C (Softwaremanagement)</t>
  </si>
  <si>
    <t>IHK Projekt/Firmenprojekt</t>
  </si>
  <si>
    <t>Softwaretechnik D (Qualitätssicherung und Wartung)</t>
  </si>
  <si>
    <t>Swoboda</t>
  </si>
  <si>
    <t>Bemerkungen / Änderungsprotokoll</t>
  </si>
  <si>
    <t>ST</t>
  </si>
  <si>
    <t>TI</t>
  </si>
  <si>
    <t>Softwaretechnik B (Softwarearchitektur)</t>
  </si>
  <si>
    <t>Informationssicherheit für die Medizin</t>
  </si>
  <si>
    <t>Mathematik für Informatik 2</t>
  </si>
  <si>
    <t>Mathematik für Informatik 3 
[1. Termin]</t>
  </si>
  <si>
    <t>Mathematik für Informatik 3 
[2. Termin]</t>
  </si>
  <si>
    <t>Statistik 
[2. Termin]</t>
  </si>
  <si>
    <t>Statistik 
[1. Termin]</t>
  </si>
  <si>
    <t>Formelsammlung &amp; Taschenrechner</t>
  </si>
  <si>
    <t>Ende Anmeldung</t>
  </si>
  <si>
    <t>Klingebiel</t>
  </si>
  <si>
    <t>DS</t>
  </si>
  <si>
    <t>PI</t>
  </si>
  <si>
    <t>SOT</t>
  </si>
  <si>
    <t>SYT</t>
  </si>
  <si>
    <t>B INF D</t>
  </si>
  <si>
    <t>22</t>
  </si>
  <si>
    <t>2/29</t>
  </si>
  <si>
    <t>Roso</t>
  </si>
  <si>
    <t>Knabe</t>
  </si>
  <si>
    <t>Data Science</t>
  </si>
  <si>
    <t>Kommunikations- und Rechnernetze 2</t>
  </si>
  <si>
    <t>Softwareprojekt</t>
  </si>
  <si>
    <t>8</t>
  </si>
  <si>
    <t>Praxisphase Programmierung</t>
  </si>
  <si>
    <t>Praxisphase Softwaretechnik</t>
  </si>
  <si>
    <t>Praxisphase IT-Architektur</t>
  </si>
  <si>
    <t>Praxisphase IT-Betrieb</t>
  </si>
  <si>
    <t>W ST</t>
  </si>
  <si>
    <t xml:space="preserve">Internet der Dinge </t>
  </si>
  <si>
    <t xml:space="preserve">N.N. </t>
  </si>
  <si>
    <t>IoT &amp; Edge Computing</t>
  </si>
  <si>
    <t>Smart Home &amp; Smart Building &amp; Smart City</t>
  </si>
  <si>
    <t xml:space="preserve">W  </t>
  </si>
  <si>
    <t xml:space="preserve">W </t>
  </si>
  <si>
    <t>Programmierkurs 2 Data Science</t>
  </si>
  <si>
    <t xml:space="preserve">Mathematik für Informatik 2 (MI) </t>
  </si>
  <si>
    <t>Mathematik für Informatik (Data Science)</t>
  </si>
  <si>
    <t>Datenvisualisierung</t>
  </si>
  <si>
    <t>Angewandtes Maschinelles Lernen</t>
  </si>
  <si>
    <t xml:space="preserve">Softwaretechnik A </t>
  </si>
  <si>
    <t xml:space="preserve">Softwaretechnik 2 </t>
  </si>
  <si>
    <t xml:space="preserve">Informationssicherheit </t>
  </si>
  <si>
    <t>Data Science Datenbanken</t>
  </si>
  <si>
    <t>Data Science Projekt</t>
  </si>
  <si>
    <t>Zeppenfeld</t>
  </si>
  <si>
    <t xml:space="preserve">Fortgeschrittene Informationssicherheit </t>
  </si>
  <si>
    <t>W DS</t>
  </si>
  <si>
    <t>Datenethik und Datenschutz</t>
  </si>
  <si>
    <t>W Ds</t>
  </si>
  <si>
    <t xml:space="preserve"> - </t>
  </si>
  <si>
    <t xml:space="preserve">Mathematik für Informatik 1 </t>
  </si>
  <si>
    <t>Klötgen</t>
  </si>
  <si>
    <t>Slooten</t>
  </si>
  <si>
    <r>
      <t xml:space="preserve">Kunau
Teschler-Nunkesser
</t>
    </r>
    <r>
      <rPr>
        <b/>
        <sz val="10"/>
        <color rgb="FFFF0000"/>
        <rFont val="Meta Offc Pro"/>
        <family val="2"/>
      </rPr>
      <t>Lindenbeck</t>
    </r>
  </si>
  <si>
    <r>
      <t xml:space="preserve">Lindenbeck 
</t>
    </r>
    <r>
      <rPr>
        <b/>
        <sz val="10"/>
        <rFont val="Meta Offc Pro"/>
        <family val="2"/>
      </rPr>
      <t>Kunau
Teschler-Nunkesser</t>
    </r>
  </si>
  <si>
    <r>
      <rPr>
        <sz val="10"/>
        <rFont val="Meta Offc Pro"/>
        <family val="2"/>
      </rPr>
      <t>Online-Test [Klausurteil Mat]</t>
    </r>
    <r>
      <rPr>
        <sz val="10"/>
        <color theme="1"/>
        <rFont val="Meta Offc Pro"/>
        <family val="2"/>
      </rPr>
      <t xml:space="preserve">
Zusatzaufgaben [Klausurteil Hoffmann]</t>
    </r>
  </si>
  <si>
    <r>
      <rPr>
        <sz val="10"/>
        <rFont val="Meta Offc Pro"/>
        <family val="2"/>
      </rPr>
      <t>5% [Klausurteil Mat]</t>
    </r>
    <r>
      <rPr>
        <sz val="10"/>
        <color theme="1"/>
        <rFont val="Meta Offc Pro"/>
        <family val="2"/>
      </rPr>
      <t xml:space="preserve">
15,00% [Klausurteil Hoffmann]</t>
    </r>
  </si>
  <si>
    <t>Schriftl. Beitrag, Präsentation</t>
  </si>
  <si>
    <t>Vormann</t>
  </si>
  <si>
    <t xml:space="preserve">Lindenbeck  </t>
  </si>
  <si>
    <t>60,00%
40,00%</t>
  </si>
  <si>
    <t>Referat
Hausarbeit</t>
  </si>
  <si>
    <t>Case Studies, Tests</t>
  </si>
  <si>
    <t>Miniprojekt</t>
  </si>
  <si>
    <t>Interview</t>
  </si>
  <si>
    <t>Stang</t>
  </si>
  <si>
    <t>Projektpräsentation</t>
  </si>
  <si>
    <t xml:space="preserve">Seminararbeit + Vortrag </t>
  </si>
  <si>
    <t>1 beidseitig beschriftetes, handschriftliches A4-Blatt im Original</t>
  </si>
  <si>
    <t>Formelsammlung einseitig handgeschriebenes A4 Blatt &amp; Nicht programmierbarer Taschenrechner</t>
  </si>
  <si>
    <t xml:space="preserve">Bonuspunkte </t>
  </si>
  <si>
    <t>Bonuspunkte</t>
  </si>
  <si>
    <t>Programmieraufgabe</t>
  </si>
  <si>
    <t>nicht-programmierbarer Taschenrechner und beidseitig handbeschriebenes DIN-A 4 Blatt</t>
  </si>
  <si>
    <t>Bonuspunkte
 Praktikum</t>
  </si>
  <si>
    <t xml:space="preserve">Dittrich </t>
  </si>
  <si>
    <t>Masterprojekt 1 + 2</t>
  </si>
  <si>
    <t> HA + 15min Kolloquium</t>
  </si>
  <si>
    <t>Schmidt</t>
  </si>
  <si>
    <t>Bastgen</t>
  </si>
  <si>
    <t>Steiner</t>
  </si>
  <si>
    <t>456 555</t>
  </si>
  <si>
    <t>Softwaremanagement</t>
  </si>
  <si>
    <t>W NSD</t>
  </si>
  <si>
    <t>NSD</t>
  </si>
  <si>
    <t>Schuster</t>
  </si>
  <si>
    <t xml:space="preserve">Brotze </t>
  </si>
  <si>
    <t>Seminar (Inhalt): Social Entrepreneurship - mit Geschäftssinn Gutes tun</t>
  </si>
  <si>
    <t>Seminar (Methodik): Social Entrepreneurship - mit Geschäftssinn Gutes tun</t>
  </si>
  <si>
    <t>Seminar (Methodik): Wissenschaftliches Arbeiten</t>
  </si>
  <si>
    <t>Seminar (Inhalt): Technische Anwendungen</t>
  </si>
  <si>
    <t>Seminar (Methodik): Technische Anwendungen</t>
  </si>
  <si>
    <t>Seminar (Inhalt): Unternehmerische Aspekte in der IT</t>
  </si>
  <si>
    <t>Ausgewählte Aspekte der Praktischen Informatik: Bau und Entwurf digitaler Lösungen - Grundlagen, Prinzipien und Techniken</t>
  </si>
  <si>
    <t>Projektbezogene Arbeit mit Abschlusskolloquium</t>
  </si>
  <si>
    <t>Fallstudie, Übungsaufgaben &amp; Miniprojekt</t>
  </si>
  <si>
    <t>Aufgaben, Präsentation einer Ausarbeitung</t>
  </si>
  <si>
    <t>Schlesiger (B)</t>
  </si>
  <si>
    <t>Kl 45</t>
  </si>
  <si>
    <t>Kirchner</t>
  </si>
  <si>
    <t>ILIAS-Test (Bonuspunkte)</t>
  </si>
  <si>
    <t>Praktische Übung + Präsentation (Bonuspunkte)</t>
  </si>
  <si>
    <t>80,00%
20,00%</t>
  </si>
  <si>
    <t>Kl 60min</t>
  </si>
  <si>
    <t>Brotze
Feldman
Mugenyi
Riemer
Röthig</t>
  </si>
  <si>
    <t>Sachweh
Zeppenfeld</t>
  </si>
  <si>
    <t>Zeppenfeld
Sachweh</t>
  </si>
  <si>
    <t>Reimann
 Harrer</t>
  </si>
  <si>
    <t>Prof MI</t>
  </si>
  <si>
    <t>Durch Referate können Bonuspunkte zur Klausur erworben werden.</t>
  </si>
  <si>
    <t>Zusatzaufgaben aus WS 2022/23</t>
  </si>
  <si>
    <t>Traeger</t>
  </si>
  <si>
    <t>Rudak</t>
  </si>
  <si>
    <t xml:space="preserve">Miller </t>
  </si>
  <si>
    <t>Kleesiek</t>
  </si>
  <si>
    <t>Modellbasierte Softwareentwicklung 
[WS 2022/23]</t>
  </si>
  <si>
    <t>Ausgewählte Aspekte der Informatik: Digitale Forensik</t>
  </si>
  <si>
    <t>Ausgewählte Aspekte der Praktischen Informatik: Analoges und Digitales Wahrnehmen für gutes Digital Design</t>
  </si>
  <si>
    <t>Seminar (Inhalt): Serious Games</t>
  </si>
  <si>
    <t xml:space="preserve">Anwesenheitspflicht beim Praktikum als Vorraussetzung </t>
  </si>
  <si>
    <r>
      <t xml:space="preserve">Werte: Semester bzw. Wahlkataloge
</t>
    </r>
    <r>
      <rPr>
        <b/>
        <sz val="12"/>
        <color rgb="FFFF0000"/>
        <rFont val="Meta Offc Pro"/>
        <family val="2"/>
      </rPr>
      <t>Rot: letzter Prüfungsanspruch</t>
    </r>
  </si>
  <si>
    <t>Entwurf und Modellierung komplexer Software-Architekturen</t>
  </si>
  <si>
    <t>Konzeption, Design und Entwicklung eines Computerspiels, Dokumentation der Zwischenergebnisse und Präsentation des Ergebnisses</t>
  </si>
  <si>
    <t>Projektbezogene Arbeit mit Präsentation</t>
  </si>
  <si>
    <t xml:space="preserve">HA </t>
  </si>
  <si>
    <t>Projektarbeit + MP</t>
  </si>
  <si>
    <t>Matlab-Projekte</t>
  </si>
  <si>
    <t>1 handschriftliches (beidseitig) A4 Blatt im Original und nicht-programmierbarer Taschenrechner</t>
  </si>
  <si>
    <t>Aufgaben am PC, Mini-Programmieraufgabe, ggf. mit Präsentation</t>
  </si>
  <si>
    <t>Bonuspunkte Praktkium</t>
  </si>
  <si>
    <t>zwei handschriftliche (beidseitig) A4 Blätter </t>
  </si>
  <si>
    <t>Kl 180 (Entwicklung am Computer)</t>
  </si>
  <si>
    <t>netzunabhängiger und nicht kommunikationsfähiger Taschenrechner, HGB</t>
  </si>
  <si>
    <t>netzunabhängiger und nicht kommunikationsfähiger Taschenrechner</t>
  </si>
  <si>
    <t>nicht programmierbarer und nicht netzfähiger Taschenrechner</t>
  </si>
  <si>
    <t>nicht netzwerkfähiger Taschenrechner</t>
  </si>
  <si>
    <t>nicht programmierbarer und nicht netzwerkfähiger Taschenrechner</t>
  </si>
  <si>
    <t>Präsentation</t>
  </si>
  <si>
    <t>Gesetzestexte (keine Lehrbücher)</t>
  </si>
  <si>
    <t>Kl 30</t>
  </si>
  <si>
    <t>Hausarbeit &amp; Präsentation</t>
  </si>
  <si>
    <t>nicht netzwerkfähiger sowie nicht programmierbarer Taschenrechner, Formelsammlung</t>
  </si>
  <si>
    <t>netzunabhängiger und nicht kommunikationsfähger Taschenrechner</t>
  </si>
  <si>
    <t>Referat (3 Kurzreferate ja 20%)</t>
  </si>
  <si>
    <t>Bauer</t>
  </si>
  <si>
    <t>Schippritt</t>
  </si>
  <si>
    <t>Prüfungszeitraum FB4 Präsenz</t>
  </si>
  <si>
    <t>Hausarbeit, Referat, Aufgaben</t>
  </si>
  <si>
    <t>Bonusaufgaben</t>
  </si>
  <si>
    <t>Klausur (EVAExam)</t>
  </si>
  <si>
    <t>HA mit Referat</t>
  </si>
  <si>
    <t>Raum
(Raumeint. durch Prüfer/in)</t>
  </si>
  <si>
    <t>SoSe 2024</t>
  </si>
  <si>
    <t>29.07.2024-30.08.2024</t>
  </si>
  <si>
    <t xml:space="preserve">Multimedia </t>
  </si>
  <si>
    <t>Kaiser</t>
  </si>
  <si>
    <t>Mehlich-Berwald</t>
  </si>
  <si>
    <t>Digitale Forensik</t>
  </si>
  <si>
    <t>B MI</t>
  </si>
  <si>
    <t>Eckey</t>
  </si>
  <si>
    <t>Ausgewählte Aspekte der Praktischen Informatik: Type-Driven Development</t>
  </si>
  <si>
    <t>Friedrich
Haas</t>
  </si>
  <si>
    <t>Seminar (Inhalt): Software Ecosystems: Technologies meet Business</t>
  </si>
  <si>
    <t>Seminar (Methodik): Programmierung numerischer Algorithmen</t>
  </si>
  <si>
    <t>Seminar (Inhalt): Programmierung numerischer Algorithmen</t>
  </si>
  <si>
    <t>Seminar (Inhalt): Erklärbarkeit von Deep-Learning-Modellen</t>
  </si>
  <si>
    <t>Bloch</t>
  </si>
  <si>
    <t>Löhr</t>
  </si>
  <si>
    <t>Mehlich-Berwald (B)</t>
  </si>
  <si>
    <t>Bonuspunkte durch Miniklausuren</t>
  </si>
  <si>
    <t>Hausarbeit</t>
  </si>
  <si>
    <t>Konzeption, Design und Entwicklung eines Pythonanwendung, Dokumentation
der Zwischenergebnisse und Präsentation des Ergebnisses</t>
  </si>
  <si>
    <t>Praktikum und Aufgabenpräsentation</t>
  </si>
  <si>
    <t>Reflexionsgespräch</t>
  </si>
  <si>
    <t>Programmierkurs Anwendungsentwicklung</t>
  </si>
  <si>
    <t>07.06.2024 &amp; 12.08.2024-18.08.2024</t>
  </si>
  <si>
    <t>Präsentation und Miniprojekt</t>
  </si>
  <si>
    <t> Hausarbeit mit Präsentation</t>
  </si>
  <si>
    <t>Bonuspunkteklausur mit EvaExam, 20 Min.</t>
  </si>
  <si>
    <t>09:00-10:30</t>
  </si>
  <si>
    <t>11:00-13:00</t>
  </si>
  <si>
    <t>14:00-16:00</t>
  </si>
  <si>
    <t>A.E.01</t>
  </si>
  <si>
    <t>Kranemann</t>
  </si>
  <si>
    <t xml:space="preserve"> Schwarz
Wenger</t>
  </si>
  <si>
    <t>B.2.21
B.2.20
C.1.31
C.1.30
C.E.32</t>
  </si>
  <si>
    <t>10:00-13:00</t>
  </si>
  <si>
    <t>10:00-12:00</t>
  </si>
  <si>
    <t>10:00-11:00</t>
  </si>
  <si>
    <t>16:30-17:30</t>
  </si>
  <si>
    <t>15:00-16:00</t>
  </si>
  <si>
    <t>13:00-14:30</t>
  </si>
  <si>
    <t>A.E.01
A.E.02</t>
  </si>
  <si>
    <t>09:00-10:00</t>
  </si>
  <si>
    <t>A.E.02</t>
  </si>
  <si>
    <t>A.1.02</t>
  </si>
  <si>
    <t>08:30-09:30</t>
  </si>
  <si>
    <t>14:00-15:30</t>
  </si>
  <si>
    <t>10:30-11:30</t>
  </si>
  <si>
    <t>13:00-14:00</t>
  </si>
  <si>
    <t>14:00-14:30</t>
  </si>
  <si>
    <t>12:00-13:30</t>
  </si>
  <si>
    <t>10:00-11:30</t>
  </si>
  <si>
    <t>11:00-12:30</t>
  </si>
  <si>
    <t>09:00-11:00</t>
  </si>
  <si>
    <t>A.2.02</t>
  </si>
  <si>
    <t>14:00-15:00</t>
  </si>
  <si>
    <t>A.E.03</t>
  </si>
  <si>
    <t>13:00-15:00</t>
  </si>
  <si>
    <t>11:00-12:00</t>
  </si>
  <si>
    <t>12.06.2024 - Änderung Prüfungstermin 22.08. -&gt; 15.08.</t>
  </si>
  <si>
    <t>A.E.01
A.E.02
A.1.02</t>
  </si>
  <si>
    <t xml:space="preserve">10:00-12:00 Uhr </t>
  </si>
  <si>
    <t>13:00-14:00 Uhr</t>
  </si>
  <si>
    <t>15:00-16:30</t>
  </si>
  <si>
    <t xml:space="preserve">12:00-13:30 </t>
  </si>
  <si>
    <t>11:30 - 13:00</t>
  </si>
  <si>
    <t>EFS44 134</t>
  </si>
  <si>
    <t>EFS44 182
EFS44 186
EFS44 189</t>
  </si>
  <si>
    <t>A.E.01
E24
A.E.02
A.1.02
A.2.02</t>
  </si>
  <si>
    <t>A.E.01
E24
A.E.02
A.1.02</t>
  </si>
  <si>
    <t>A.E.01
E24
A.E.02</t>
  </si>
  <si>
    <t xml:space="preserve">EFS44 182
EFS44 186 </t>
  </si>
  <si>
    <t>17.06.2024 - Änderung Prüfungstermin 01.08. -&gt; 05.08.24</t>
  </si>
  <si>
    <t>17.06.2024 - Änderung Prüfungstermin 25.07. -&gt; 01.08.24</t>
  </si>
  <si>
    <t>14:30-16:00</t>
  </si>
  <si>
    <r>
      <rPr>
        <b/>
        <sz val="10"/>
        <rFont val="Meta Offc Pro"/>
        <family val="2"/>
      </rPr>
      <t xml:space="preserve">TU: </t>
    </r>
    <r>
      <rPr>
        <sz val="10"/>
        <rFont val="Meta Offc Pro"/>
        <family val="2"/>
      </rPr>
      <t xml:space="preserve">EFS 50/ HS1, EFS 50/ HS2, EFS 50/ HS3, SRG1/ H.001
</t>
    </r>
    <r>
      <rPr>
        <b/>
        <sz val="10"/>
        <rFont val="Meta Offc Pro"/>
        <family val="2"/>
      </rPr>
      <t>FH:</t>
    </r>
    <r>
      <rPr>
        <sz val="10"/>
        <rFont val="Meta Offc Pro"/>
        <family val="2"/>
      </rPr>
      <t xml:space="preserve"> A.E.01, A.E.02, A.1.02, A.2.02, E24</t>
    </r>
  </si>
  <si>
    <t>18.06.2024 - Änderung Prüfungstermin 02.08. -&gt; 22.07.</t>
  </si>
  <si>
    <t>Linnenbrink </t>
  </si>
  <si>
    <t>Rosenthal</t>
  </si>
  <si>
    <t>18.06.2024 - Änderung Erst/Zweitprüfer*in Schneider-&gt;Linnenbrinken/Linnenbrink-&gt;Rosenthal</t>
  </si>
  <si>
    <t>17:50-18:50</t>
  </si>
  <si>
    <t>EFS40a E24</t>
  </si>
  <si>
    <t>A.E.01
EFS40a E24
A.E.02
A.1.02
A.2.02</t>
  </si>
  <si>
    <t>EFS44 182
EFS44 186</t>
  </si>
  <si>
    <t>EFS44 050
EFS44 134</t>
  </si>
  <si>
    <t>14:15-16:15
(14:15-15:15)</t>
  </si>
  <si>
    <t>EFS44 236</t>
  </si>
  <si>
    <t>14:15-16:15
(15:15-16:15)</t>
  </si>
  <si>
    <t>EFS38b 003</t>
  </si>
  <si>
    <t xml:space="preserve">EFS44 050  </t>
  </si>
  <si>
    <t>EFS44 050
EFS44 150
EFS44 182
EFS44 186
EFS44 189</t>
  </si>
  <si>
    <t>EFS44 050</t>
  </si>
  <si>
    <t>16:00-17:00</t>
  </si>
  <si>
    <t>EFS40a E24
EFS44 150
EFS44 182
EFS44 186
EFS44189</t>
  </si>
  <si>
    <t>EFS44 050
EFS44 134
EFS44 150
EFS44 182
EFS44 186</t>
  </si>
  <si>
    <t>EFS38b 003
EFS38b 013
EFS40a E24</t>
  </si>
  <si>
    <t>EFS44 189</t>
  </si>
  <si>
    <t>tba</t>
  </si>
  <si>
    <t>11:00-11:45</t>
  </si>
  <si>
    <t>EFS44 135</t>
  </si>
  <si>
    <t>08:30-10:00</t>
  </si>
  <si>
    <t xml:space="preserve">2,00%,
4,00% oder 5,00% </t>
  </si>
  <si>
    <t>26.06.24 -  Korrektur semesterbegleitende Studienleistung</t>
  </si>
  <si>
    <t>26.06.24 - Korrektur semesterbegleitende Studienleistung</t>
  </si>
  <si>
    <t>Unternehmensvertreter*innen</t>
  </si>
  <si>
    <t>04.07.24 -  Änderung Zweitprüfer*in/Beisitzer*in</t>
  </si>
  <si>
    <t>Bestellte/r 2. Prüfer/in oder Beisitzer/in (B)</t>
  </si>
  <si>
    <t>Termin</t>
  </si>
  <si>
    <t>EFS44 150
EFS44 182
EFS44 186
EFS44 189</t>
  </si>
  <si>
    <t>05.07.2024 - Änderung Prüfungstermin 29.07. -&gt; 25.07.</t>
  </si>
  <si>
    <t>19.07.2024 - Änderung Hilfsmittel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</si>
</sst>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;@"/>
    <numFmt numFmtId="165" formatCode="ddd"/>
    <numFmt numFmtId="166" formatCode="d/m/yy"/>
    <numFmt numFmtId="167" formatCode="_-* #,##0.00\ _€_-;\-* #,##0.00\ _€_-;_-* &quot;-&quot;??\ _€_-;_-@_-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0"/>
      <color indexed="8"/>
      <name val="Arial"/>
      <family val="2"/>
    </font>
    <font>
      <b/>
      <sz val="10"/>
      <color theme="1"/>
      <name val="Meta Offc Pro"/>
      <family val="2"/>
    </font>
    <font>
      <sz val="10"/>
      <color theme="1"/>
      <name val="Meta Offc Pro"/>
      <family val="2"/>
    </font>
    <font>
      <b/>
      <sz val="10"/>
      <color indexed="2"/>
      <name val="Meta Offc Pro"/>
      <family val="2"/>
    </font>
    <font>
      <b/>
      <sz val="12"/>
      <color theme="1"/>
      <name val="Meta Offc Pro"/>
      <family val="2"/>
    </font>
    <font>
      <b/>
      <sz val="10"/>
      <color rgb="FFFF0000"/>
      <name val="Meta Offc Pro"/>
      <family val="2"/>
    </font>
    <font>
      <b/>
      <sz val="10"/>
      <color rgb="FF00B050"/>
      <name val="Meta Offc Pro"/>
      <family val="2"/>
    </font>
    <font>
      <sz val="10"/>
      <name val="Meta Offc Pro"/>
      <family val="2"/>
    </font>
    <font>
      <b/>
      <sz val="11"/>
      <color theme="1"/>
      <name val="Meta Offc Pro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Meta Offc Pro"/>
      <family val="2"/>
    </font>
    <font>
      <sz val="10"/>
      <color rgb="FF000000"/>
      <name val="Meta Offc Pro"/>
      <family val="2"/>
    </font>
    <font>
      <strike/>
      <sz val="10"/>
      <name val="Meta Offc Pro"/>
      <family val="2"/>
    </font>
    <font>
      <strike/>
      <sz val="10"/>
      <color theme="1"/>
      <name val="Meta Offc Pro"/>
      <family val="2"/>
    </font>
    <font>
      <b/>
      <strike/>
      <sz val="10"/>
      <color theme="1"/>
      <name val="Meta Offc Pro"/>
      <family val="2"/>
    </font>
    <font>
      <sz val="10"/>
      <color rgb="FFFF33CC"/>
      <name val="Meta Offc Pro"/>
      <family val="2"/>
    </font>
    <font>
      <sz val="10"/>
      <color indexed="2"/>
      <name val="Meta Offc Pro"/>
      <family val="2"/>
    </font>
    <font>
      <b/>
      <strike/>
      <sz val="10"/>
      <color rgb="FFFF0000"/>
      <name val="Meta Offc Pro"/>
      <family val="2"/>
    </font>
    <font>
      <sz val="11"/>
      <color theme="1"/>
      <name val="Meta Offc Pro"/>
      <family val="2"/>
    </font>
    <font>
      <b/>
      <sz val="10"/>
      <name val="Meta Offc Pro"/>
      <family val="2"/>
    </font>
    <font>
      <sz val="12"/>
      <color theme="1"/>
      <name val="Meta Offc Pro"/>
      <family val="2"/>
    </font>
    <font>
      <b/>
      <sz val="10"/>
      <color theme="0"/>
      <name val="Meta Offc Pro"/>
      <family val="2"/>
    </font>
    <font>
      <b/>
      <strike/>
      <sz val="10"/>
      <color indexed="2"/>
      <name val="Meta Offc Pro"/>
      <family val="2"/>
    </font>
    <font>
      <sz val="10"/>
      <color rgb="FF00B050"/>
      <name val="Meta Offc Pro"/>
      <family val="2"/>
    </font>
    <font>
      <b/>
      <strike/>
      <sz val="10"/>
      <name val="Meta Offc Pro"/>
      <family val="2"/>
    </font>
    <font>
      <strike/>
      <sz val="10"/>
      <color rgb="FFFF33CC"/>
      <name val="Meta Offc Pro"/>
      <family val="2"/>
    </font>
    <font>
      <sz val="10"/>
      <color theme="1"/>
      <name val="Calibri Light"/>
      <family val="2"/>
    </font>
    <font>
      <strike/>
      <sz val="10"/>
      <color indexed="2"/>
      <name val="Meta Offc Pro"/>
      <family val="2"/>
    </font>
    <font>
      <sz val="10"/>
      <color rgb="FF242424"/>
      <name val="Meta Offc Pro"/>
      <family val="2"/>
    </font>
    <font>
      <strike/>
      <sz val="10"/>
      <color theme="1"/>
      <name val="Calibri Light"/>
      <family val="2"/>
    </font>
    <font>
      <b/>
      <sz val="10"/>
      <color indexed="8"/>
      <name val="Meta Offc Pro"/>
      <family val="2"/>
    </font>
    <font>
      <b/>
      <sz val="12"/>
      <color rgb="FFFF0000"/>
      <name val="Meta Offc Pro"/>
      <family val="2"/>
    </font>
    <font>
      <strike/>
      <sz val="11"/>
      <color theme="1"/>
      <name val="Meta Offc Pro"/>
      <family val="2"/>
    </font>
    <font>
      <sz val="10"/>
      <color rgb="FFFF0000"/>
      <name val="Meta Offc Pro"/>
      <family val="2"/>
    </font>
    <font>
      <strike/>
      <sz val="10"/>
      <color rgb="FFFF0000"/>
      <name val="Meta Offc Pro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69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/>
    <xf numFmtId="0" fontId="4" fillId="0" borderId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7">
    <xf numFmtId="0" fontId="0" fillId="0" borderId="0" xfId="0"/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6" fillId="0" borderId="0" xfId="0" applyFont="1" applyAlignment="1">
      <alignment wrapText="1" shrinkToFi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wrapText="1"/>
    </xf>
    <xf numFmtId="0" fontId="31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66" fontId="11" fillId="0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6" fillId="17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1" fontId="11" fillId="17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" fontId="6" fillId="24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 shrinkToFit="1"/>
    </xf>
    <xf numFmtId="0" fontId="6" fillId="11" borderId="1" xfId="0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horizontal="left" vertical="center" wrapText="1" shrinkToFit="1"/>
    </xf>
    <xf numFmtId="0" fontId="6" fillId="2" borderId="1" xfId="0" applyFont="1" applyFill="1" applyBorder="1" applyAlignment="1">
      <alignment horizontal="left" vertical="center" wrapText="1" shrinkToFit="1"/>
    </xf>
    <xf numFmtId="1" fontId="6" fillId="17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left" vertical="center" wrapText="1" shrinkToFit="1"/>
    </xf>
    <xf numFmtId="1" fontId="6" fillId="2" borderId="1" xfId="0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vertical="center" wrapText="1" shrinkToFit="1"/>
    </xf>
    <xf numFmtId="0" fontId="5" fillId="13" borderId="1" xfId="0" applyFont="1" applyFill="1" applyBorder="1" applyAlignment="1">
      <alignment horizontal="center" vertical="center" wrapText="1" shrinkToFit="1"/>
    </xf>
    <xf numFmtId="0" fontId="6" fillId="13" borderId="1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vertical="center" wrapText="1" shrinkToFi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8" fillId="0" borderId="1" xfId="0" applyNumberFormat="1" applyFont="1" applyFill="1" applyBorder="1" applyAlignment="1">
      <alignment horizontal="center" vertical="center" wrapText="1"/>
    </xf>
    <xf numFmtId="165" fontId="18" fillId="0" borderId="1" xfId="0" applyNumberFormat="1" applyFont="1" applyFill="1" applyBorder="1" applyAlignment="1">
      <alignment horizontal="left" vertical="center" wrapText="1"/>
    </xf>
    <xf numFmtId="166" fontId="17" fillId="0" borderId="1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 shrinkToFi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left" vertical="center" wrapText="1"/>
    </xf>
    <xf numFmtId="166" fontId="11" fillId="13" borderId="1" xfId="0" applyNumberFormat="1" applyFont="1" applyFill="1" applyBorder="1" applyAlignment="1">
      <alignment horizontal="center" vertical="center" wrapText="1"/>
    </xf>
    <xf numFmtId="20" fontId="11" fillId="13" borderId="1" xfId="0" applyNumberFormat="1" applyFont="1" applyFill="1" applyBorder="1" applyAlignment="1">
      <alignment horizontal="center" vertical="center" wrapText="1"/>
    </xf>
    <xf numFmtId="20" fontId="11" fillId="0" borderId="1" xfId="0" applyNumberFormat="1" applyFont="1" applyFill="1" applyBorder="1" applyAlignment="1">
      <alignment horizontal="center" vertical="center" wrapText="1"/>
    </xf>
    <xf numFmtId="166" fontId="20" fillId="0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 shrinkToFit="1"/>
    </xf>
    <xf numFmtId="1" fontId="18" fillId="10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vertical="center" wrapText="1" shrinkToFit="1"/>
    </xf>
    <xf numFmtId="0" fontId="6" fillId="18" borderId="1" xfId="0" applyFont="1" applyFill="1" applyBorder="1" applyAlignment="1">
      <alignment vertical="center" wrapText="1" shrinkToFit="1"/>
    </xf>
    <xf numFmtId="0" fontId="18" fillId="17" borderId="1" xfId="0" applyFont="1" applyFill="1" applyBorder="1" applyAlignment="1">
      <alignment horizontal="left" vertical="center" wrapText="1" shrinkToFit="1"/>
    </xf>
    <xf numFmtId="1" fontId="6" fillId="10" borderId="1" xfId="0" applyNumberFormat="1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left" vertical="center" wrapText="1" shrinkToFit="1"/>
    </xf>
    <xf numFmtId="1" fontId="6" fillId="17" borderId="1" xfId="0" applyNumberFormat="1" applyFont="1" applyFill="1" applyBorder="1" applyAlignment="1">
      <alignment horizontal="left" vertical="center" wrapText="1" shrinkToFit="1"/>
    </xf>
    <xf numFmtId="1" fontId="18" fillId="17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 shrinkToFit="1"/>
    </xf>
    <xf numFmtId="0" fontId="11" fillId="17" borderId="1" xfId="0" applyFont="1" applyFill="1" applyBorder="1" applyAlignment="1">
      <alignment horizontal="left" vertical="center" wrapText="1" shrinkToFit="1"/>
    </xf>
    <xf numFmtId="1" fontId="11" fillId="2" borderId="1" xfId="0" applyNumberFormat="1" applyFont="1" applyFill="1" applyBorder="1" applyAlignment="1">
      <alignment horizontal="center" vertical="center" wrapText="1" shrinkToFit="1"/>
    </xf>
    <xf numFmtId="0" fontId="6" fillId="10" borderId="1" xfId="0" applyFont="1" applyFill="1" applyBorder="1" applyAlignment="1">
      <alignment vertical="center" wrapText="1" shrinkToFit="1"/>
    </xf>
    <xf numFmtId="0" fontId="11" fillId="10" borderId="1" xfId="0" applyFont="1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center" vertical="center" wrapText="1"/>
    </xf>
    <xf numFmtId="14" fontId="6" fillId="25" borderId="1" xfId="0" applyNumberFormat="1" applyFont="1" applyFill="1" applyBorder="1" applyAlignment="1">
      <alignment horizontal="center" vertical="center" wrapText="1"/>
    </xf>
    <xf numFmtId="166" fontId="11" fillId="14" borderId="1" xfId="0" applyNumberFormat="1" applyFont="1" applyFill="1" applyBorder="1" applyAlignment="1">
      <alignment horizontal="center" vertical="center" wrapText="1"/>
    </xf>
    <xf numFmtId="166" fontId="11" fillId="20" borderId="1" xfId="0" applyNumberFormat="1" applyFont="1" applyFill="1" applyBorder="1" applyAlignment="1">
      <alignment horizontal="center" vertical="center" wrapText="1"/>
    </xf>
    <xf numFmtId="166" fontId="38" fillId="0" borderId="1" xfId="0" applyNumberFormat="1" applyFont="1" applyFill="1" applyBorder="1" applyAlignment="1">
      <alignment horizontal="center" vertical="center" wrapText="1"/>
    </xf>
    <xf numFmtId="166" fontId="6" fillId="13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20" fontId="6" fillId="12" borderId="1" xfId="0" applyNumberFormat="1" applyFont="1" applyFill="1" applyBorder="1" applyAlignment="1">
      <alignment horizontal="center" vertical="center" wrapText="1"/>
    </xf>
    <xf numFmtId="21" fontId="1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 shrinkToFit="1"/>
    </xf>
    <xf numFmtId="0" fontId="18" fillId="2" borderId="1" xfId="0" applyFont="1" applyFill="1" applyBorder="1" applyAlignment="1">
      <alignment horizontal="center" vertical="center" wrapText="1" shrinkToFit="1"/>
    </xf>
    <xf numFmtId="165" fontId="17" fillId="0" borderId="1" xfId="0" applyNumberFormat="1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1" fontId="18" fillId="2" borderId="1" xfId="0" applyNumberFormat="1" applyFont="1" applyFill="1" applyBorder="1" applyAlignment="1">
      <alignment horizontal="center" vertical="center" wrapText="1" shrinkToFit="1"/>
    </xf>
    <xf numFmtId="1" fontId="18" fillId="2" borderId="1" xfId="0" applyNumberFormat="1" applyFont="1" applyFill="1" applyBorder="1" applyAlignment="1">
      <alignment horizontal="left" vertical="center" wrapText="1" shrinkToFit="1"/>
    </xf>
    <xf numFmtId="0" fontId="18" fillId="18" borderId="1" xfId="0" applyFont="1" applyFill="1" applyBorder="1" applyAlignment="1">
      <alignment horizontal="left" vertical="center" wrapText="1" shrinkToFit="1"/>
    </xf>
    <xf numFmtId="166" fontId="6" fillId="19" borderId="1" xfId="0" applyNumberFormat="1" applyFont="1" applyFill="1" applyBorder="1" applyAlignment="1">
      <alignment horizontal="center" vertical="center" wrapText="1"/>
    </xf>
    <xf numFmtId="166" fontId="11" fillId="19" borderId="1" xfId="0" applyNumberFormat="1" applyFont="1" applyFill="1" applyBorder="1" applyAlignment="1">
      <alignment horizontal="center" vertical="center" wrapText="1"/>
    </xf>
    <xf numFmtId="165" fontId="38" fillId="0" borderId="1" xfId="0" applyNumberFormat="1" applyFont="1" applyFill="1" applyBorder="1" applyAlignment="1">
      <alignment horizontal="left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 shrinkToFit="1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 shrinkToFit="1"/>
    </xf>
    <xf numFmtId="0" fontId="18" fillId="0" borderId="1" xfId="0" applyFont="1" applyBorder="1" applyAlignment="1">
      <alignment horizontal="left" vertical="center" wrapText="1" shrinkToFit="1"/>
    </xf>
    <xf numFmtId="0" fontId="18" fillId="10" borderId="1" xfId="0" applyFont="1" applyFill="1" applyBorder="1" applyAlignment="1">
      <alignment horizontal="left" vertical="center" wrapText="1" shrinkToFit="1"/>
    </xf>
    <xf numFmtId="0" fontId="18" fillId="2" borderId="1" xfId="0" applyFont="1" applyFill="1" applyBorder="1" applyAlignment="1">
      <alignment vertical="center" wrapText="1" shrinkToFit="1"/>
    </xf>
    <xf numFmtId="0" fontId="6" fillId="19" borderId="1" xfId="0" applyFont="1" applyFill="1" applyBorder="1" applyAlignment="1">
      <alignment horizontal="center" vertical="center" wrapText="1" shrinkToFit="1"/>
    </xf>
    <xf numFmtId="14" fontId="6" fillId="14" borderId="1" xfId="0" applyNumberFormat="1" applyFont="1" applyFill="1" applyBorder="1" applyAlignment="1">
      <alignment horizontal="center" vertical="center" wrapText="1"/>
    </xf>
    <xf numFmtId="14" fontId="6" fillId="20" borderId="1" xfId="0" applyNumberFormat="1" applyFont="1" applyFill="1" applyBorder="1" applyAlignment="1">
      <alignment horizontal="center" vertical="center" wrapText="1"/>
    </xf>
    <xf numFmtId="20" fontId="6" fillId="14" borderId="1" xfId="0" applyNumberFormat="1" applyFont="1" applyFill="1" applyBorder="1" applyAlignment="1">
      <alignment horizontal="center" vertical="center" wrapText="1"/>
    </xf>
    <xf numFmtId="20" fontId="6" fillId="20" borderId="1" xfId="0" applyNumberFormat="1" applyFont="1" applyFill="1" applyBorder="1" applyAlignment="1">
      <alignment horizontal="center" vertical="center" wrapText="1"/>
    </xf>
    <xf numFmtId="1" fontId="6" fillId="14" borderId="1" xfId="0" applyNumberFormat="1" applyFont="1" applyFill="1" applyBorder="1" applyAlignment="1">
      <alignment horizontal="center" vertical="center" wrapText="1"/>
    </xf>
    <xf numFmtId="1" fontId="6" fillId="20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 shrinkToFit="1"/>
    </xf>
    <xf numFmtId="0" fontId="6" fillId="20" borderId="1" xfId="0" applyFont="1" applyFill="1" applyBorder="1" applyAlignment="1">
      <alignment horizontal="left" vertical="center" wrapText="1" shrinkToFit="1"/>
    </xf>
    <xf numFmtId="0" fontId="6" fillId="20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 shrinkToFit="1"/>
    </xf>
    <xf numFmtId="0" fontId="6" fillId="20" borderId="1" xfId="0" applyFont="1" applyFill="1" applyBorder="1" applyAlignment="1">
      <alignment horizontal="center" vertical="center" wrapText="1" shrinkToFit="1"/>
    </xf>
    <xf numFmtId="0" fontId="6" fillId="13" borderId="1" xfId="0" applyFont="1" applyFill="1" applyBorder="1" applyAlignment="1">
      <alignment wrapText="1" shrinkToFit="1"/>
    </xf>
    <xf numFmtId="0" fontId="6" fillId="0" borderId="1" xfId="0" applyFont="1" applyBorder="1" applyAlignment="1">
      <alignment wrapText="1" shrinkToFit="1"/>
    </xf>
    <xf numFmtId="0" fontId="7" fillId="20" borderId="1" xfId="0" applyFont="1" applyFill="1" applyBorder="1" applyAlignment="1">
      <alignment horizontal="center" vertical="center" wrapText="1" shrinkToFit="1"/>
    </xf>
    <xf numFmtId="0" fontId="7" fillId="1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shrinkToFit="1"/>
    </xf>
    <xf numFmtId="0" fontId="5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21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shrinkToFi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23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 shrinkToFit="1"/>
    </xf>
    <xf numFmtId="0" fontId="5" fillId="0" borderId="1" xfId="0" applyFont="1" applyBorder="1" applyAlignment="1">
      <alignment horizontal="left" vertical="center" wrapText="1" shrinkToFit="1"/>
    </xf>
    <xf numFmtId="0" fontId="6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/>
    </xf>
    <xf numFmtId="10" fontId="6" fillId="13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10" fontId="6" fillId="14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0" fontId="6" fillId="13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23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10" fontId="6" fillId="2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horizontal="center" vertical="center" wrapText="1" shrinkToFit="1"/>
    </xf>
    <xf numFmtId="0" fontId="9" fillId="13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10" fontId="6" fillId="20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 shrinkToFit="1"/>
    </xf>
    <xf numFmtId="0" fontId="9" fillId="13" borderId="1" xfId="0" applyFont="1" applyFill="1" applyBorder="1" applyAlignment="1">
      <alignment horizontal="center" vertical="center" wrapText="1" shrinkToFit="1"/>
    </xf>
    <xf numFmtId="10" fontId="6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shrinkToFit="1"/>
    </xf>
    <xf numFmtId="10" fontId="6" fillId="19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 shrinkToFit="1"/>
    </xf>
    <xf numFmtId="0" fontId="6" fillId="13" borderId="1" xfId="0" applyFont="1" applyFill="1" applyBorder="1" applyAlignment="1">
      <alignment horizontal="center" wrapText="1"/>
    </xf>
    <xf numFmtId="10" fontId="16" fillId="1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wrapText="1" shrinkToFit="1"/>
    </xf>
    <xf numFmtId="0" fontId="6" fillId="16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shrinkToFit="1"/>
    </xf>
    <xf numFmtId="10" fontId="6" fillId="0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 shrinkToFit="1"/>
    </xf>
    <xf numFmtId="0" fontId="6" fillId="15" borderId="1" xfId="0" applyFont="1" applyFill="1" applyBorder="1" applyAlignment="1">
      <alignment horizontal="center" vertical="center" wrapText="1"/>
    </xf>
    <xf numFmtId="49" fontId="6" fillId="15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wrapText="1"/>
    </xf>
    <xf numFmtId="0" fontId="11" fillId="13" borderId="1" xfId="0" applyFont="1" applyFill="1" applyBorder="1" applyAlignment="1">
      <alignment horizontal="center" vertical="center" wrapText="1" shrinkToFit="1"/>
    </xf>
    <xf numFmtId="9" fontId="6" fillId="0" borderId="1" xfId="0" applyNumberFormat="1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 shrinkToFit="1"/>
    </xf>
    <xf numFmtId="0" fontId="35" fillId="0" borderId="1" xfId="2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applyFont="1" applyFill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/>
    </xf>
    <xf numFmtId="10" fontId="6" fillId="13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10" fontId="11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13" borderId="1" xfId="0" applyFont="1" applyFill="1" applyBorder="1" applyAlignment="1">
      <alignment wrapText="1"/>
    </xf>
    <xf numFmtId="0" fontId="19" fillId="0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10" fontId="18" fillId="13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10" fontId="18" fillId="13" borderId="1" xfId="0" applyNumberFormat="1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0" fontId="1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1" xfId="0" applyFont="1" applyFill="1" applyBorder="1" applyAlignment="1">
      <alignment horizontal="center" vertical="center" wrapText="1" shrinkToFit="1"/>
    </xf>
    <xf numFmtId="0" fontId="18" fillId="9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 shrinkToFit="1"/>
    </xf>
    <xf numFmtId="0" fontId="18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7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 wrapText="1" shrinkToFit="1"/>
    </xf>
    <xf numFmtId="0" fontId="17" fillId="13" borderId="1" xfId="0" applyFont="1" applyFill="1" applyBorder="1" applyAlignment="1">
      <alignment horizontal="center" vertical="center" wrapText="1" shrinkToFit="1"/>
    </xf>
    <xf numFmtId="0" fontId="18" fillId="6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 shrinkToFit="1"/>
    </xf>
    <xf numFmtId="0" fontId="18" fillId="13" borderId="1" xfId="0" applyFont="1" applyFill="1" applyBorder="1" applyAlignment="1">
      <alignment wrapText="1"/>
    </xf>
    <xf numFmtId="10" fontId="18" fillId="0" borderId="1" xfId="0" applyNumberFormat="1" applyFont="1" applyFill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 shrinkToFit="1"/>
    </xf>
    <xf numFmtId="14" fontId="18" fillId="13" borderId="1" xfId="0" applyNumberFormat="1" applyFont="1" applyFill="1" applyBorder="1" applyAlignment="1">
      <alignment horizontal="center" vertical="center" wrapText="1" shrinkToFit="1"/>
    </xf>
    <xf numFmtId="0" fontId="18" fillId="10" borderId="1" xfId="0" applyFont="1" applyFill="1" applyBorder="1" applyAlignment="1">
      <alignment vertical="center" wrapText="1" shrinkToFit="1"/>
    </xf>
    <xf numFmtId="0" fontId="18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0" fontId="18" fillId="0" borderId="1" xfId="0" applyNumberFormat="1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 shrinkToFit="1"/>
    </xf>
    <xf numFmtId="0" fontId="18" fillId="17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165" fontId="39" fillId="0" borderId="1" xfId="0" applyNumberFormat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18" fillId="13" borderId="1" xfId="0" applyFont="1" applyFill="1" applyBorder="1" applyAlignment="1">
      <alignment horizontal="center" wrapText="1"/>
    </xf>
    <xf numFmtId="10" fontId="18" fillId="13" borderId="1" xfId="0" applyNumberFormat="1" applyFont="1" applyFill="1" applyBorder="1" applyAlignment="1">
      <alignment horizontal="center"/>
    </xf>
    <xf numFmtId="10" fontId="18" fillId="13" borderId="1" xfId="3" applyNumberFormat="1" applyFont="1" applyFill="1" applyBorder="1" applyAlignment="1">
      <alignment horizontal="center" vertical="center" wrapText="1"/>
    </xf>
    <xf numFmtId="20" fontId="17" fillId="0" borderId="1" xfId="0" applyNumberFormat="1" applyFont="1" applyFill="1" applyBorder="1" applyAlignment="1">
      <alignment horizontal="center" vertical="center" wrapText="1"/>
    </xf>
    <xf numFmtId="1" fontId="18" fillId="13" borderId="1" xfId="0" applyNumberFormat="1" applyFont="1" applyFill="1" applyBorder="1" applyAlignment="1">
      <alignment horizontal="center" vertical="center" wrapText="1" shrinkToFit="1"/>
    </xf>
    <xf numFmtId="0" fontId="18" fillId="13" borderId="1" xfId="0" applyFont="1" applyFill="1" applyBorder="1" applyAlignment="1">
      <alignment vertical="center" wrapText="1" shrinkToFi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21" fontId="17" fillId="0" borderId="1" xfId="0" applyNumberFormat="1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 wrapText="1" shrinkToFit="1"/>
    </xf>
    <xf numFmtId="14" fontId="18" fillId="0" borderId="1" xfId="0" applyNumberFormat="1" applyFont="1" applyBorder="1" applyAlignment="1">
      <alignment wrapText="1"/>
    </xf>
    <xf numFmtId="22" fontId="17" fillId="0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2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6" fillId="21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164" fontId="6" fillId="2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6" fillId="22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49" fontId="6" fillId="23" borderId="1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 shrinkToFit="1"/>
    </xf>
  </cellXfs>
  <cellStyles count="7">
    <cellStyle name="Komma 2" xfId="5" xr:uid="{14CA212A-AB6A-42D5-A9CF-BE79789FF511}"/>
    <cellStyle name="Normal" xfId="1" xr:uid="{00000000-0005-0000-0000-000001000000}"/>
    <cellStyle name="Prozent" xfId="3" builtinId="5"/>
    <cellStyle name="Prozent 2" xfId="4" xr:uid="{E62D8DAB-CEE8-45D8-9E2D-CCD3920AA1A5}"/>
    <cellStyle name="Prozent 3" xfId="6" xr:uid="{A0EEB6C8-902D-4BBC-B128-CCC0C281C2E7}"/>
    <cellStyle name="Standard" xfId="0" builtinId="0"/>
    <cellStyle name="Standard_Tabelle1" xfId="2" xr:uid="{00000000-0005-0000-0000-000003000000}"/>
  </cellStyles>
  <dxfs count="65"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  <dxf>
      <fill>
        <patternFill patternType="solid">
          <fgColor rgb="FFFFBFBD"/>
          <bgColor rgb="FFFFBFBD"/>
        </patternFill>
      </fill>
    </dxf>
    <dxf>
      <fill>
        <patternFill patternType="solid">
          <fgColor rgb="FFFEF7CE"/>
          <bgColor rgb="FFFEF7CE"/>
        </patternFill>
      </fill>
    </dxf>
    <dxf>
      <fill>
        <patternFill patternType="solid">
          <fgColor rgb="FFCEFECF"/>
          <bgColor rgb="FFCEFECF"/>
        </patternFill>
      </fill>
    </dxf>
    <dxf>
      <fill>
        <patternFill patternType="solid">
          <fgColor rgb="FFD0DCFC"/>
          <bgColor rgb="FFD0DCFC"/>
        </patternFill>
      </fill>
    </dxf>
    <dxf>
      <fill>
        <patternFill patternType="solid">
          <fgColor rgb="FFFFB3F6"/>
          <bgColor rgb="FFFFB3F6"/>
        </patternFill>
      </fill>
    </dxf>
  </dxfs>
  <tableStyles count="0" defaultTableStyle="TableStyleMedium2" defaultPivotStyle="PivotStyleLight16"/>
  <colors>
    <mruColors>
      <color rgb="FFFF7C80"/>
      <color rgb="FF99FF99"/>
      <color rgb="FF00FFFF"/>
      <color rgb="FF66FF33"/>
      <color rgb="FFFFFF99"/>
      <color rgb="FFCCFF99"/>
      <color rgb="FFFF33CC"/>
      <color rgb="FFFFCC66"/>
      <color rgb="FF66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53"/>
  <sheetViews>
    <sheetView tabSelected="1" zoomScale="90" zoomScaleNormal="90" workbookViewId="0">
      <pane ySplit="1" topLeftCell="A2" activePane="bottomLeft" state="frozen"/>
      <selection activeCell="AI1" sqref="AI1"/>
      <selection pane="bottomLeft" activeCell="AG283" sqref="A1:AG283"/>
    </sheetView>
  </sheetViews>
  <sheetFormatPr baseColWidth="10" defaultColWidth="32.44140625" defaultRowHeight="16.2" x14ac:dyDescent="0.4"/>
  <cols>
    <col min="1" max="1" width="16.109375" style="12" customWidth="1"/>
    <col min="2" max="2" width="4.33203125" style="1" bestFit="1" customWidth="1"/>
    <col min="3" max="3" width="7.5546875" style="6" bestFit="1" customWidth="1"/>
    <col min="4" max="4" width="13.109375" style="3" bestFit="1" customWidth="1"/>
    <col min="5" max="5" width="26" style="1" bestFit="1" customWidth="1"/>
    <col min="6" max="6" width="7.6640625" style="10" bestFit="1" customWidth="1"/>
    <col min="7" max="7" width="59" style="1" bestFit="1" customWidth="1"/>
    <col min="8" max="8" width="16.88671875" style="1" bestFit="1" customWidth="1"/>
    <col min="9" max="9" width="2.77734375" style="1" bestFit="1" customWidth="1"/>
    <col min="10" max="10" width="3.109375" style="1" bestFit="1" customWidth="1"/>
    <col min="11" max="11" width="5.5546875" style="1" bestFit="1" customWidth="1"/>
    <col min="12" max="12" width="5" style="1" bestFit="1" customWidth="1"/>
    <col min="13" max="13" width="4.5546875" style="1" bestFit="1" customWidth="1"/>
    <col min="14" max="14" width="4.88671875" style="1" bestFit="1" customWidth="1"/>
    <col min="15" max="16" width="5.21875" style="1" bestFit="1" customWidth="1"/>
    <col min="17" max="17" width="3.33203125" style="1" bestFit="1" customWidth="1"/>
    <col min="18" max="18" width="3" style="1" bestFit="1" customWidth="1"/>
    <col min="19" max="19" width="4.5546875" style="1" bestFit="1" customWidth="1"/>
    <col min="20" max="20" width="3.5546875" style="1" bestFit="1" customWidth="1"/>
    <col min="21" max="22" width="5.33203125" style="1" bestFit="1" customWidth="1"/>
    <col min="23" max="23" width="4.44140625" style="11" bestFit="1" customWidth="1"/>
    <col min="24" max="24" width="14.44140625" style="11" bestFit="1" customWidth="1"/>
    <col min="25" max="25" width="26" style="10" bestFit="1" customWidth="1"/>
    <col min="26" max="26" width="10.5546875" style="11" bestFit="1" customWidth="1"/>
    <col min="27" max="27" width="34.5546875" style="11" bestFit="1" customWidth="1"/>
    <col min="28" max="28" width="8.6640625" style="11" bestFit="1" customWidth="1"/>
    <col min="29" max="29" width="34.44140625" style="10" bestFit="1" customWidth="1"/>
    <col min="30" max="30" width="8.6640625" style="11" bestFit="1" customWidth="1"/>
    <col min="31" max="31" width="47.6640625" style="1" bestFit="1" customWidth="1"/>
    <col min="32" max="32" width="26.44140625" style="9" bestFit="1" customWidth="1"/>
    <col min="33" max="33" width="32.6640625" style="9" bestFit="1" customWidth="1"/>
    <col min="34" max="16384" width="32.44140625" style="1"/>
  </cols>
  <sheetData>
    <row r="1" spans="1:33" ht="28.2" customHeight="1" x14ac:dyDescent="0.4">
      <c r="A1" s="311" t="s">
        <v>556</v>
      </c>
      <c r="B1" s="311"/>
      <c r="C1" s="311"/>
      <c r="D1" s="119" t="s">
        <v>8</v>
      </c>
      <c r="E1" s="120">
        <f ca="1">TODAY()</f>
        <v>45492</v>
      </c>
      <c r="F1" s="316"/>
      <c r="G1" s="121" t="s">
        <v>0</v>
      </c>
      <c r="H1" s="122" t="s">
        <v>1</v>
      </c>
      <c r="I1" s="312" t="s">
        <v>2</v>
      </c>
      <c r="J1" s="312"/>
      <c r="K1" s="312"/>
      <c r="L1" s="332" t="s">
        <v>562</v>
      </c>
      <c r="M1" s="332"/>
      <c r="N1" s="123" t="s">
        <v>3</v>
      </c>
      <c r="O1" s="333" t="s">
        <v>418</v>
      </c>
      <c r="P1" s="333"/>
      <c r="Q1" s="322" t="s">
        <v>4</v>
      </c>
      <c r="R1" s="322"/>
      <c r="S1" s="325" t="s">
        <v>5</v>
      </c>
      <c r="T1" s="325"/>
      <c r="U1" s="124" t="s">
        <v>6</v>
      </c>
      <c r="V1" s="125" t="s">
        <v>331</v>
      </c>
      <c r="W1" s="126"/>
      <c r="X1" s="321" t="s">
        <v>300</v>
      </c>
      <c r="Y1" s="321"/>
      <c r="Z1" s="321"/>
      <c r="AA1" s="321"/>
      <c r="AB1" s="321"/>
      <c r="AC1" s="321"/>
      <c r="AD1" s="321"/>
      <c r="AE1" s="321"/>
      <c r="AF1" s="324" t="s">
        <v>7</v>
      </c>
      <c r="AG1" s="324"/>
    </row>
    <row r="2" spans="1:33" ht="40.799999999999997" customHeight="1" x14ac:dyDescent="0.4">
      <c r="A2" s="127" t="s">
        <v>550</v>
      </c>
      <c r="B2" s="313" t="s">
        <v>557</v>
      </c>
      <c r="C2" s="313"/>
      <c r="D2" s="313"/>
      <c r="E2" s="313"/>
      <c r="F2" s="316"/>
      <c r="G2" s="128" t="s">
        <v>9</v>
      </c>
      <c r="H2" s="122" t="s">
        <v>10</v>
      </c>
      <c r="I2" s="129" t="s">
        <v>415</v>
      </c>
      <c r="J2" s="129" t="s">
        <v>403</v>
      </c>
      <c r="K2" s="129" t="s">
        <v>414</v>
      </c>
      <c r="L2" s="130"/>
      <c r="M2" s="130"/>
      <c r="N2" s="131"/>
      <c r="O2" s="132" t="s">
        <v>402</v>
      </c>
      <c r="P2" s="132" t="s">
        <v>488</v>
      </c>
      <c r="Q2" s="133" t="s">
        <v>416</v>
      </c>
      <c r="R2" s="133" t="s">
        <v>417</v>
      </c>
      <c r="S2" s="134" t="s">
        <v>415</v>
      </c>
      <c r="T2" s="134" t="s">
        <v>403</v>
      </c>
      <c r="U2" s="135"/>
      <c r="V2" s="136"/>
      <c r="W2" s="126"/>
      <c r="X2" s="321"/>
      <c r="Y2" s="321"/>
      <c r="Z2" s="321"/>
      <c r="AA2" s="321"/>
      <c r="AB2" s="321"/>
      <c r="AC2" s="321"/>
      <c r="AD2" s="321"/>
      <c r="AE2" s="321"/>
      <c r="AF2" s="324"/>
      <c r="AG2" s="324"/>
    </row>
    <row r="3" spans="1:33" ht="22.2" customHeight="1" x14ac:dyDescent="0.4">
      <c r="A3" s="317"/>
      <c r="B3" s="317"/>
      <c r="C3" s="317"/>
      <c r="D3" s="317"/>
      <c r="E3" s="317"/>
      <c r="F3" s="316"/>
      <c r="G3" s="137" t="s">
        <v>13</v>
      </c>
      <c r="H3" s="122" t="s">
        <v>14</v>
      </c>
      <c r="I3" s="331" t="s">
        <v>15</v>
      </c>
      <c r="J3" s="331"/>
      <c r="K3" s="331"/>
      <c r="L3" s="130" t="s">
        <v>15</v>
      </c>
      <c r="M3" s="130" t="s">
        <v>340</v>
      </c>
      <c r="N3" s="131" t="s">
        <v>16</v>
      </c>
      <c r="O3" s="334" t="s">
        <v>419</v>
      </c>
      <c r="P3" s="334"/>
      <c r="Q3" s="320">
        <v>15</v>
      </c>
      <c r="R3" s="320"/>
      <c r="S3" s="327" t="s">
        <v>15</v>
      </c>
      <c r="T3" s="327"/>
      <c r="U3" s="135" t="s">
        <v>15</v>
      </c>
      <c r="V3" s="136" t="s">
        <v>16</v>
      </c>
      <c r="W3" s="126"/>
      <c r="X3" s="321"/>
      <c r="Y3" s="321"/>
      <c r="Z3" s="321"/>
      <c r="AA3" s="321"/>
      <c r="AB3" s="321"/>
      <c r="AC3" s="321"/>
      <c r="AD3" s="321"/>
      <c r="AE3" s="321"/>
      <c r="AF3" s="324"/>
      <c r="AG3" s="324"/>
    </row>
    <row r="4" spans="1:33" x14ac:dyDescent="0.4">
      <c r="A4" s="317"/>
      <c r="B4" s="317"/>
      <c r="C4" s="317"/>
      <c r="D4" s="317"/>
      <c r="E4" s="317"/>
      <c r="F4" s="316"/>
      <c r="G4" s="138" t="s">
        <v>17</v>
      </c>
      <c r="H4" s="122" t="s">
        <v>18</v>
      </c>
      <c r="I4" s="129"/>
      <c r="J4" s="129"/>
      <c r="K4" s="129"/>
      <c r="L4" s="130"/>
      <c r="M4" s="130"/>
      <c r="N4" s="131"/>
      <c r="O4" s="132"/>
      <c r="P4" s="132"/>
      <c r="Q4" s="319" t="s">
        <v>420</v>
      </c>
      <c r="R4" s="319"/>
      <c r="S4" s="134"/>
      <c r="T4" s="134"/>
      <c r="U4" s="135"/>
      <c r="V4" s="136"/>
      <c r="W4" s="126"/>
      <c r="X4" s="321"/>
      <c r="Y4" s="321"/>
      <c r="Z4" s="321"/>
      <c r="AA4" s="321"/>
      <c r="AB4" s="321"/>
      <c r="AC4" s="321"/>
      <c r="AD4" s="321"/>
      <c r="AE4" s="321"/>
      <c r="AF4" s="324"/>
      <c r="AG4" s="324"/>
    </row>
    <row r="5" spans="1:33" s="2" customFormat="1" ht="48.6" x14ac:dyDescent="0.3">
      <c r="A5" s="317"/>
      <c r="B5" s="317"/>
      <c r="C5" s="317"/>
      <c r="D5" s="317"/>
      <c r="E5" s="317"/>
      <c r="F5" s="139" t="s">
        <v>21</v>
      </c>
      <c r="G5" s="139" t="s">
        <v>22</v>
      </c>
      <c r="H5" s="140" t="s">
        <v>318</v>
      </c>
      <c r="I5" s="326" t="s">
        <v>23</v>
      </c>
      <c r="J5" s="326"/>
      <c r="K5" s="326"/>
      <c r="L5" s="141" t="s">
        <v>485</v>
      </c>
      <c r="M5" s="139">
        <v>247</v>
      </c>
      <c r="N5" s="141" t="s">
        <v>367</v>
      </c>
      <c r="O5" s="314">
        <v>944</v>
      </c>
      <c r="P5" s="314"/>
      <c r="Q5" s="314" t="s">
        <v>24</v>
      </c>
      <c r="R5" s="314"/>
      <c r="S5" s="326" t="s">
        <v>23</v>
      </c>
      <c r="T5" s="326"/>
      <c r="U5" s="139">
        <v>555</v>
      </c>
      <c r="V5" s="139" t="s">
        <v>332</v>
      </c>
      <c r="W5" s="142" t="s">
        <v>25</v>
      </c>
      <c r="X5" s="321"/>
      <c r="Y5" s="321"/>
      <c r="Z5" s="321"/>
      <c r="AA5" s="321"/>
      <c r="AB5" s="321"/>
      <c r="AC5" s="321"/>
      <c r="AD5" s="321"/>
      <c r="AE5" s="321"/>
      <c r="AF5" s="140" t="s">
        <v>661</v>
      </c>
      <c r="AG5" s="140"/>
    </row>
    <row r="6" spans="1:33" x14ac:dyDescent="0.4">
      <c r="A6" s="317"/>
      <c r="B6" s="317"/>
      <c r="C6" s="317"/>
      <c r="D6" s="317"/>
      <c r="E6" s="317"/>
      <c r="F6" s="143"/>
      <c r="G6" s="144"/>
      <c r="H6" s="315" t="s">
        <v>355</v>
      </c>
      <c r="I6" s="329" t="s">
        <v>524</v>
      </c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28"/>
      <c r="X6" s="314" t="s">
        <v>317</v>
      </c>
      <c r="Y6" s="323" t="s">
        <v>26</v>
      </c>
      <c r="Z6" s="323"/>
      <c r="AA6" s="323"/>
      <c r="AB6" s="323"/>
      <c r="AC6" s="314" t="s">
        <v>27</v>
      </c>
      <c r="AD6" s="323"/>
      <c r="AE6" s="323"/>
      <c r="AF6" s="315" t="s">
        <v>355</v>
      </c>
      <c r="AG6" s="315" t="s">
        <v>401</v>
      </c>
    </row>
    <row r="7" spans="1:33" ht="39" customHeight="1" x14ac:dyDescent="0.4">
      <c r="A7" s="145"/>
      <c r="B7" s="318" t="s">
        <v>662</v>
      </c>
      <c r="C7" s="318"/>
      <c r="D7" s="318"/>
      <c r="E7" s="314" t="s">
        <v>555</v>
      </c>
      <c r="F7" s="143"/>
      <c r="G7" s="144"/>
      <c r="H7" s="315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28"/>
      <c r="X7" s="314"/>
      <c r="Y7" s="314" t="s">
        <v>28</v>
      </c>
      <c r="Z7" s="314"/>
      <c r="AA7" s="314" t="s">
        <v>29</v>
      </c>
      <c r="AB7" s="314"/>
      <c r="AC7" s="314" t="s">
        <v>29</v>
      </c>
      <c r="AD7" s="314"/>
      <c r="AE7" s="314"/>
      <c r="AF7" s="315"/>
      <c r="AG7" s="315"/>
    </row>
    <row r="8" spans="1:33" ht="36.6" customHeight="1" x14ac:dyDescent="0.4">
      <c r="A8" s="139" t="s">
        <v>412</v>
      </c>
      <c r="B8" s="141" t="s">
        <v>19</v>
      </c>
      <c r="C8" s="146" t="s">
        <v>20</v>
      </c>
      <c r="D8" s="139" t="s">
        <v>354</v>
      </c>
      <c r="E8" s="314"/>
      <c r="F8" s="143"/>
      <c r="G8" s="144"/>
      <c r="H8" s="315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28"/>
      <c r="X8" s="314"/>
      <c r="Y8" s="15" t="s">
        <v>30</v>
      </c>
      <c r="Z8" s="15" t="s">
        <v>31</v>
      </c>
      <c r="AA8" s="15" t="s">
        <v>30</v>
      </c>
      <c r="AB8" s="15" t="s">
        <v>31</v>
      </c>
      <c r="AC8" s="15" t="s">
        <v>32</v>
      </c>
      <c r="AD8" s="15" t="s">
        <v>31</v>
      </c>
      <c r="AE8" s="15" t="s">
        <v>33</v>
      </c>
      <c r="AF8" s="315"/>
      <c r="AG8" s="315"/>
    </row>
    <row r="9" spans="1:33" x14ac:dyDescent="0.4">
      <c r="A9" s="147"/>
      <c r="B9" s="15"/>
      <c r="C9" s="148"/>
      <c r="D9" s="15"/>
      <c r="E9" s="15"/>
      <c r="F9" s="15"/>
      <c r="G9" s="15"/>
      <c r="H9" s="149"/>
      <c r="I9" s="149"/>
      <c r="J9" s="149"/>
      <c r="K9" s="149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26"/>
      <c r="X9" s="126"/>
      <c r="Y9" s="15"/>
      <c r="Z9" s="126"/>
      <c r="AA9" s="126"/>
      <c r="AB9" s="126"/>
      <c r="AC9" s="15"/>
      <c r="AD9" s="126"/>
      <c r="AE9" s="15"/>
      <c r="AF9" s="114"/>
      <c r="AG9" s="114"/>
    </row>
    <row r="10" spans="1:33" s="4" customFormat="1" ht="32.4" x14ac:dyDescent="0.4">
      <c r="A10" s="48">
        <v>45450</v>
      </c>
      <c r="B10" s="76">
        <f t="shared" ref="B10:B41" si="0">IF(C10="","",C10)</f>
        <v>45440</v>
      </c>
      <c r="C10" s="19">
        <v>45440</v>
      </c>
      <c r="D10" s="16" t="s">
        <v>635</v>
      </c>
      <c r="E10" s="16" t="s">
        <v>636</v>
      </c>
      <c r="F10" s="33">
        <v>46893</v>
      </c>
      <c r="G10" s="29" t="s">
        <v>158</v>
      </c>
      <c r="H10" s="150" t="s">
        <v>159</v>
      </c>
      <c r="I10" s="151"/>
      <c r="J10" s="151"/>
      <c r="K10" s="151"/>
      <c r="L10" s="15"/>
      <c r="M10" s="15"/>
      <c r="N10" s="152" t="s">
        <v>160</v>
      </c>
      <c r="O10" s="15"/>
      <c r="P10" s="15"/>
      <c r="Q10" s="15"/>
      <c r="R10" s="15"/>
      <c r="S10" s="15"/>
      <c r="T10" s="15"/>
      <c r="U10" s="15"/>
      <c r="V10" s="15"/>
      <c r="W10" s="309">
        <v>5</v>
      </c>
      <c r="X10" s="15" t="s">
        <v>161</v>
      </c>
      <c r="Y10" s="153"/>
      <c r="Z10" s="154"/>
      <c r="AA10" s="155" t="s">
        <v>377</v>
      </c>
      <c r="AB10" s="155">
        <v>0.3</v>
      </c>
      <c r="AC10" s="153" t="s">
        <v>358</v>
      </c>
      <c r="AD10" s="155">
        <v>0.7</v>
      </c>
      <c r="AE10" s="15" t="s">
        <v>36</v>
      </c>
      <c r="AF10" s="83" t="s">
        <v>162</v>
      </c>
      <c r="AG10" s="39"/>
    </row>
    <row r="11" spans="1:33" ht="32.4" x14ac:dyDescent="0.4">
      <c r="A11" s="48">
        <v>45450</v>
      </c>
      <c r="B11" s="49">
        <f t="shared" si="0"/>
        <v>45495</v>
      </c>
      <c r="C11" s="90">
        <v>45495</v>
      </c>
      <c r="D11" s="16" t="s">
        <v>600</v>
      </c>
      <c r="E11" s="17" t="s">
        <v>638</v>
      </c>
      <c r="F11" s="36">
        <v>41322</v>
      </c>
      <c r="G11" s="37" t="s">
        <v>103</v>
      </c>
      <c r="H11" s="156" t="s">
        <v>104</v>
      </c>
      <c r="I11" s="82"/>
      <c r="J11" s="82"/>
      <c r="K11" s="82"/>
      <c r="L11" s="15"/>
      <c r="M11" s="15"/>
      <c r="N11" s="152">
        <v>1</v>
      </c>
      <c r="O11" s="15"/>
      <c r="P11" s="15"/>
      <c r="Q11" s="15"/>
      <c r="R11" s="15"/>
      <c r="S11" s="15"/>
      <c r="T11" s="15"/>
      <c r="U11" s="15"/>
      <c r="V11" s="15"/>
      <c r="W11" s="309">
        <v>5</v>
      </c>
      <c r="X11" s="309"/>
      <c r="Y11" s="15"/>
      <c r="Z11" s="157"/>
      <c r="AA11" s="309"/>
      <c r="AB11" s="309"/>
      <c r="AC11" s="309" t="s">
        <v>358</v>
      </c>
      <c r="AD11" s="157">
        <v>1</v>
      </c>
      <c r="AE11" s="148" t="s">
        <v>144</v>
      </c>
      <c r="AF11" s="83" t="s">
        <v>462</v>
      </c>
      <c r="AG11" s="101" t="s">
        <v>631</v>
      </c>
    </row>
    <row r="12" spans="1:33" ht="32.4" customHeight="1" x14ac:dyDescent="0.4">
      <c r="A12" s="48">
        <v>45450</v>
      </c>
      <c r="B12" s="49">
        <f t="shared" si="0"/>
        <v>45496</v>
      </c>
      <c r="C12" s="75">
        <v>45496</v>
      </c>
      <c r="D12" s="16" t="s">
        <v>653</v>
      </c>
      <c r="E12" s="16" t="s">
        <v>654</v>
      </c>
      <c r="F12" s="36">
        <v>46869</v>
      </c>
      <c r="G12" s="37" t="s">
        <v>82</v>
      </c>
      <c r="H12" s="156" t="s">
        <v>83</v>
      </c>
      <c r="I12" s="158"/>
      <c r="J12" s="158"/>
      <c r="K12" s="158"/>
      <c r="L12" s="15"/>
      <c r="M12" s="15"/>
      <c r="N12" s="152" t="s">
        <v>41</v>
      </c>
      <c r="O12" s="15"/>
      <c r="P12" s="15"/>
      <c r="Q12" s="15"/>
      <c r="R12" s="15"/>
      <c r="S12" s="15"/>
      <c r="T12" s="15"/>
      <c r="U12" s="15"/>
      <c r="V12" s="15"/>
      <c r="W12" s="309">
        <v>5</v>
      </c>
      <c r="X12" s="309"/>
      <c r="Y12" s="15"/>
      <c r="Z12" s="157"/>
      <c r="AA12" s="15" t="s">
        <v>551</v>
      </c>
      <c r="AB12" s="157">
        <v>0.25</v>
      </c>
      <c r="AC12" s="309" t="s">
        <v>502</v>
      </c>
      <c r="AD12" s="157">
        <v>0.75</v>
      </c>
      <c r="AE12" s="15" t="s">
        <v>540</v>
      </c>
      <c r="AF12" s="83" t="s">
        <v>84</v>
      </c>
      <c r="AG12" s="83"/>
    </row>
    <row r="13" spans="1:33" ht="32.4" customHeight="1" x14ac:dyDescent="0.4">
      <c r="A13" s="48">
        <v>45450</v>
      </c>
      <c r="B13" s="49">
        <f t="shared" si="0"/>
        <v>45497</v>
      </c>
      <c r="C13" s="75">
        <v>45497</v>
      </c>
      <c r="D13" s="16" t="s">
        <v>602</v>
      </c>
      <c r="E13" s="17" t="s">
        <v>639</v>
      </c>
      <c r="F13" s="36">
        <v>43332</v>
      </c>
      <c r="G13" s="37" t="s">
        <v>165</v>
      </c>
      <c r="H13" s="156" t="s">
        <v>71</v>
      </c>
      <c r="I13" s="82"/>
      <c r="J13" s="82"/>
      <c r="K13" s="82"/>
      <c r="L13" s="15"/>
      <c r="M13" s="15"/>
      <c r="N13" s="152">
        <v>3</v>
      </c>
      <c r="O13" s="15"/>
      <c r="P13" s="15"/>
      <c r="Q13" s="15"/>
      <c r="R13" s="15"/>
      <c r="S13" s="15"/>
      <c r="T13" s="15"/>
      <c r="U13" s="15"/>
      <c r="V13" s="15"/>
      <c r="W13" s="309">
        <v>5</v>
      </c>
      <c r="X13" s="309"/>
      <c r="Y13" s="15"/>
      <c r="Z13" s="157"/>
      <c r="AA13" s="309"/>
      <c r="AB13" s="309"/>
      <c r="AC13" s="15" t="s">
        <v>358</v>
      </c>
      <c r="AD13" s="157">
        <v>1</v>
      </c>
      <c r="AE13" s="15" t="s">
        <v>537</v>
      </c>
      <c r="AF13" s="83" t="s">
        <v>164</v>
      </c>
      <c r="AG13" s="83"/>
    </row>
    <row r="14" spans="1:33" s="14" customFormat="1" ht="32.4" x14ac:dyDescent="0.3">
      <c r="A14" s="48">
        <v>45450</v>
      </c>
      <c r="B14" s="49">
        <f t="shared" si="0"/>
        <v>45497</v>
      </c>
      <c r="C14" s="75">
        <v>45497</v>
      </c>
      <c r="D14" s="16" t="s">
        <v>595</v>
      </c>
      <c r="E14" s="16" t="s">
        <v>651</v>
      </c>
      <c r="F14" s="33">
        <v>47562</v>
      </c>
      <c r="G14" s="29" t="s">
        <v>70</v>
      </c>
      <c r="H14" s="156" t="s">
        <v>71</v>
      </c>
      <c r="I14" s="82"/>
      <c r="J14" s="82"/>
      <c r="K14" s="8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60" t="s">
        <v>72</v>
      </c>
      <c r="W14" s="309">
        <v>5</v>
      </c>
      <c r="X14" s="15"/>
      <c r="Y14" s="15"/>
      <c r="Z14" s="159"/>
      <c r="AA14" s="15" t="s">
        <v>376</v>
      </c>
      <c r="AB14" s="159" t="s">
        <v>335</v>
      </c>
      <c r="AC14" s="15" t="s">
        <v>361</v>
      </c>
      <c r="AD14" s="159">
        <v>0.66669999999999996</v>
      </c>
      <c r="AE14" s="15" t="s">
        <v>546</v>
      </c>
      <c r="AF14" s="83" t="s">
        <v>73</v>
      </c>
      <c r="AG14" s="83"/>
    </row>
    <row r="15" spans="1:33" ht="32.4" x14ac:dyDescent="0.4">
      <c r="A15" s="48">
        <v>45450</v>
      </c>
      <c r="B15" s="49">
        <f t="shared" si="0"/>
        <v>45497</v>
      </c>
      <c r="C15" s="75">
        <v>45497</v>
      </c>
      <c r="D15" s="16" t="s">
        <v>640</v>
      </c>
      <c r="E15" s="17" t="s">
        <v>641</v>
      </c>
      <c r="F15" s="36">
        <v>46805</v>
      </c>
      <c r="G15" s="37" t="s">
        <v>215</v>
      </c>
      <c r="H15" s="156" t="s">
        <v>216</v>
      </c>
      <c r="I15" s="82"/>
      <c r="J15" s="82"/>
      <c r="K15" s="82"/>
      <c r="L15" s="15"/>
      <c r="M15" s="15"/>
      <c r="N15" s="152" t="s">
        <v>41</v>
      </c>
      <c r="O15" s="15"/>
      <c r="P15" s="15"/>
      <c r="Q15" s="15"/>
      <c r="R15" s="15"/>
      <c r="S15" s="15"/>
      <c r="T15" s="15"/>
      <c r="U15" s="15"/>
      <c r="V15" s="15"/>
      <c r="W15" s="309">
        <v>5</v>
      </c>
      <c r="X15" s="15"/>
      <c r="Y15" s="15"/>
      <c r="Z15" s="159"/>
      <c r="AA15" s="15"/>
      <c r="AB15" s="15"/>
      <c r="AC15" s="15" t="s">
        <v>358</v>
      </c>
      <c r="AD15" s="157">
        <v>1</v>
      </c>
      <c r="AE15" s="15" t="s">
        <v>539</v>
      </c>
      <c r="AF15" s="83" t="s">
        <v>217</v>
      </c>
      <c r="AG15" s="39"/>
    </row>
    <row r="16" spans="1:33" ht="32.4" x14ac:dyDescent="0.4">
      <c r="A16" s="48">
        <v>45450</v>
      </c>
      <c r="B16" s="49">
        <f t="shared" si="0"/>
        <v>45497</v>
      </c>
      <c r="C16" s="75">
        <v>45497</v>
      </c>
      <c r="D16" s="16" t="s">
        <v>642</v>
      </c>
      <c r="E16" s="17" t="s">
        <v>641</v>
      </c>
      <c r="F16" s="36">
        <v>46842</v>
      </c>
      <c r="G16" s="37" t="s">
        <v>288</v>
      </c>
      <c r="H16" s="156" t="s">
        <v>217</v>
      </c>
      <c r="I16" s="82"/>
      <c r="J16" s="82"/>
      <c r="K16" s="82"/>
      <c r="L16" s="15"/>
      <c r="M16" s="15"/>
      <c r="N16" s="152" t="s">
        <v>41</v>
      </c>
      <c r="O16" s="15"/>
      <c r="P16" s="15"/>
      <c r="Q16" s="15"/>
      <c r="R16" s="15"/>
      <c r="S16" s="15"/>
      <c r="T16" s="15"/>
      <c r="U16" s="15"/>
      <c r="V16" s="15"/>
      <c r="W16" s="309">
        <v>5</v>
      </c>
      <c r="X16" s="309"/>
      <c r="Y16" s="15"/>
      <c r="Z16" s="157"/>
      <c r="AA16" s="309"/>
      <c r="AB16" s="309"/>
      <c r="AC16" s="15" t="s">
        <v>358</v>
      </c>
      <c r="AD16" s="157">
        <v>1</v>
      </c>
      <c r="AE16" s="15" t="s">
        <v>539</v>
      </c>
      <c r="AF16" s="83" t="s">
        <v>216</v>
      </c>
      <c r="AG16" s="39"/>
    </row>
    <row r="17" spans="1:33" x14ac:dyDescent="0.4">
      <c r="A17" s="48">
        <v>45450</v>
      </c>
      <c r="B17" s="49">
        <f t="shared" si="0"/>
        <v>45498</v>
      </c>
      <c r="C17" s="75">
        <v>45498</v>
      </c>
      <c r="D17" s="16" t="s">
        <v>655</v>
      </c>
      <c r="E17" s="16" t="s">
        <v>646</v>
      </c>
      <c r="F17" s="36">
        <v>46874</v>
      </c>
      <c r="G17" s="37" t="s">
        <v>227</v>
      </c>
      <c r="H17" s="156" t="s">
        <v>314</v>
      </c>
      <c r="I17" s="82"/>
      <c r="J17" s="82"/>
      <c r="K17" s="82"/>
      <c r="L17" s="15"/>
      <c r="M17" s="15"/>
      <c r="N17" s="15"/>
      <c r="O17" s="15"/>
      <c r="P17" s="15"/>
      <c r="Q17" s="15"/>
      <c r="R17" s="15"/>
      <c r="S17" s="163" t="s">
        <v>41</v>
      </c>
      <c r="T17" s="163" t="s">
        <v>41</v>
      </c>
      <c r="U17" s="164" t="s">
        <v>41</v>
      </c>
      <c r="V17" s="160" t="s">
        <v>121</v>
      </c>
      <c r="W17" s="309">
        <v>5</v>
      </c>
      <c r="X17" s="15"/>
      <c r="Y17" s="15"/>
      <c r="Z17" s="159"/>
      <c r="AA17" s="15"/>
      <c r="AB17" s="159"/>
      <c r="AC17" s="15" t="s">
        <v>361</v>
      </c>
      <c r="AD17" s="157">
        <v>1</v>
      </c>
      <c r="AE17" s="15" t="s">
        <v>36</v>
      </c>
      <c r="AF17" s="83" t="s">
        <v>118</v>
      </c>
      <c r="AG17" s="39"/>
    </row>
    <row r="18" spans="1:33" ht="81" x14ac:dyDescent="0.4">
      <c r="A18" s="48">
        <v>45450</v>
      </c>
      <c r="B18" s="49">
        <f t="shared" si="0"/>
        <v>45498</v>
      </c>
      <c r="C18" s="19">
        <v>45498</v>
      </c>
      <c r="D18" s="16" t="s">
        <v>590</v>
      </c>
      <c r="E18" s="69" t="s">
        <v>589</v>
      </c>
      <c r="F18" s="20">
        <v>41012</v>
      </c>
      <c r="G18" s="37" t="s">
        <v>352</v>
      </c>
      <c r="H18" s="161" t="s">
        <v>387</v>
      </c>
      <c r="I18" s="41">
        <v>1</v>
      </c>
      <c r="J18" s="41">
        <v>1</v>
      </c>
      <c r="K18" s="41">
        <v>1</v>
      </c>
      <c r="L18" s="162">
        <v>1</v>
      </c>
      <c r="M18" s="162">
        <v>1</v>
      </c>
      <c r="N18" s="149"/>
      <c r="O18" s="149"/>
      <c r="P18" s="149"/>
      <c r="Q18" s="15"/>
      <c r="R18" s="15"/>
      <c r="S18" s="15"/>
      <c r="T18" s="15"/>
      <c r="U18" s="15"/>
      <c r="V18" s="15"/>
      <c r="W18" s="309">
        <v>2</v>
      </c>
      <c r="X18" s="15" t="s">
        <v>523</v>
      </c>
      <c r="Y18" s="15"/>
      <c r="Z18" s="157"/>
      <c r="AA18" s="309"/>
      <c r="AB18" s="309"/>
      <c r="AC18" s="309" t="s">
        <v>535</v>
      </c>
      <c r="AD18" s="157">
        <v>1</v>
      </c>
      <c r="AE18" s="15" t="s">
        <v>36</v>
      </c>
      <c r="AF18" s="38" t="s">
        <v>253</v>
      </c>
      <c r="AG18" s="114"/>
    </row>
    <row r="19" spans="1:33" ht="32.4" x14ac:dyDescent="0.4">
      <c r="A19" s="48">
        <v>45450</v>
      </c>
      <c r="B19" s="49">
        <f t="shared" si="0"/>
        <v>45498</v>
      </c>
      <c r="C19" s="91">
        <v>45498</v>
      </c>
      <c r="D19" s="310" t="s">
        <v>605</v>
      </c>
      <c r="E19" s="16" t="s">
        <v>599</v>
      </c>
      <c r="F19" s="20">
        <v>46848</v>
      </c>
      <c r="G19" s="32" t="s">
        <v>94</v>
      </c>
      <c r="H19" s="161" t="s">
        <v>89</v>
      </c>
      <c r="I19" s="305"/>
      <c r="J19" s="305"/>
      <c r="K19" s="305"/>
      <c r="L19" s="15"/>
      <c r="M19" s="15"/>
      <c r="N19" s="15"/>
      <c r="O19" s="15"/>
      <c r="P19" s="15"/>
      <c r="Q19" s="15"/>
      <c r="R19" s="15"/>
      <c r="S19" s="163" t="s">
        <v>79</v>
      </c>
      <c r="T19" s="163" t="s">
        <v>79</v>
      </c>
      <c r="U19" s="164" t="s">
        <v>41</v>
      </c>
      <c r="V19" s="160" t="s">
        <v>79</v>
      </c>
      <c r="W19" s="309">
        <v>5</v>
      </c>
      <c r="X19" s="309"/>
      <c r="Y19" s="15"/>
      <c r="Z19" s="157"/>
      <c r="AA19" s="15" t="s">
        <v>95</v>
      </c>
      <c r="AB19" s="157">
        <v>0.1</v>
      </c>
      <c r="AC19" s="15" t="s">
        <v>361</v>
      </c>
      <c r="AD19" s="157">
        <v>0.9</v>
      </c>
      <c r="AE19" s="15" t="s">
        <v>36</v>
      </c>
      <c r="AF19" s="38" t="s">
        <v>93</v>
      </c>
      <c r="AG19" s="101" t="s">
        <v>664</v>
      </c>
    </row>
    <row r="20" spans="1:33" ht="32.4" x14ac:dyDescent="0.4">
      <c r="A20" s="48">
        <v>45450</v>
      </c>
      <c r="B20" s="49">
        <f t="shared" si="0"/>
        <v>45498</v>
      </c>
      <c r="C20" s="75">
        <v>45498</v>
      </c>
      <c r="D20" s="16" t="s">
        <v>594</v>
      </c>
      <c r="E20" s="16" t="s">
        <v>643</v>
      </c>
      <c r="F20" s="33">
        <v>46811</v>
      </c>
      <c r="G20" s="29" t="s">
        <v>271</v>
      </c>
      <c r="H20" s="156" t="s">
        <v>324</v>
      </c>
      <c r="I20" s="82"/>
      <c r="J20" s="82"/>
      <c r="K20" s="82"/>
      <c r="L20" s="15"/>
      <c r="M20" s="15"/>
      <c r="N20" s="152" t="s">
        <v>41</v>
      </c>
      <c r="O20" s="15"/>
      <c r="P20" s="15"/>
      <c r="Q20" s="15"/>
      <c r="R20" s="15"/>
      <c r="S20" s="15"/>
      <c r="T20" s="15"/>
      <c r="U20" s="15"/>
      <c r="V20" s="15"/>
      <c r="W20" s="309">
        <v>5</v>
      </c>
      <c r="X20" s="309"/>
      <c r="Y20" s="69" t="s">
        <v>461</v>
      </c>
      <c r="Z20" s="165">
        <v>0.1</v>
      </c>
      <c r="AA20" s="166"/>
      <c r="AB20" s="166"/>
      <c r="AC20" s="166" t="s">
        <v>358</v>
      </c>
      <c r="AD20" s="157">
        <v>1</v>
      </c>
      <c r="AE20" s="15" t="s">
        <v>537</v>
      </c>
      <c r="AF20" s="83" t="s">
        <v>336</v>
      </c>
      <c r="AG20" s="83"/>
    </row>
    <row r="21" spans="1:33" ht="32.4" x14ac:dyDescent="0.4">
      <c r="A21" s="48">
        <v>45450</v>
      </c>
      <c r="B21" s="49">
        <f t="shared" si="0"/>
        <v>45499</v>
      </c>
      <c r="C21" s="74">
        <v>45499</v>
      </c>
      <c r="D21" s="51" t="s">
        <v>591</v>
      </c>
      <c r="E21" s="16" t="s">
        <v>586</v>
      </c>
      <c r="F21" s="23">
        <v>46839</v>
      </c>
      <c r="G21" s="29" t="s">
        <v>115</v>
      </c>
      <c r="H21" s="161" t="s">
        <v>40</v>
      </c>
      <c r="I21" s="305"/>
      <c r="J21" s="305"/>
      <c r="K21" s="305"/>
      <c r="L21" s="15"/>
      <c r="M21" s="15"/>
      <c r="N21" s="15"/>
      <c r="O21" s="15"/>
      <c r="P21" s="15"/>
      <c r="Q21" s="15"/>
      <c r="R21" s="15"/>
      <c r="S21" s="163" t="s">
        <v>116</v>
      </c>
      <c r="T21" s="163" t="s">
        <v>116</v>
      </c>
      <c r="U21" s="164" t="s">
        <v>41</v>
      </c>
      <c r="V21" s="160" t="s">
        <v>41</v>
      </c>
      <c r="W21" s="309">
        <v>5</v>
      </c>
      <c r="X21" s="309"/>
      <c r="Y21" s="15"/>
      <c r="Z21" s="157"/>
      <c r="AA21" s="309" t="s">
        <v>364</v>
      </c>
      <c r="AB21" s="157">
        <v>0.3</v>
      </c>
      <c r="AC21" s="15" t="s">
        <v>357</v>
      </c>
      <c r="AD21" s="159">
        <v>0.7</v>
      </c>
      <c r="AE21" s="15" t="s">
        <v>39</v>
      </c>
      <c r="AF21" s="38" t="s">
        <v>56</v>
      </c>
      <c r="AG21" s="39"/>
    </row>
    <row r="22" spans="1:33" ht="32.4" x14ac:dyDescent="0.4">
      <c r="A22" s="48">
        <v>45450</v>
      </c>
      <c r="B22" s="49">
        <f t="shared" si="0"/>
        <v>45499</v>
      </c>
      <c r="C22" s="75">
        <v>45499</v>
      </c>
      <c r="D22" s="16" t="s">
        <v>652</v>
      </c>
      <c r="E22" s="16" t="s">
        <v>652</v>
      </c>
      <c r="F22" s="20">
        <v>46903</v>
      </c>
      <c r="G22" s="34" t="s">
        <v>218</v>
      </c>
      <c r="H22" s="156" t="s">
        <v>216</v>
      </c>
      <c r="I22" s="82"/>
      <c r="J22" s="82"/>
      <c r="K22" s="82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60" t="s">
        <v>41</v>
      </c>
      <c r="W22" s="309">
        <v>5</v>
      </c>
      <c r="X22" s="167"/>
      <c r="Y22" s="15"/>
      <c r="Z22" s="157"/>
      <c r="AA22" s="15" t="s">
        <v>378</v>
      </c>
      <c r="AB22" s="157">
        <v>0.3</v>
      </c>
      <c r="AC22" s="15" t="s">
        <v>358</v>
      </c>
      <c r="AD22" s="157">
        <v>0.7</v>
      </c>
      <c r="AE22" s="15" t="s">
        <v>540</v>
      </c>
      <c r="AF22" s="83" t="s">
        <v>83</v>
      </c>
      <c r="AG22" s="116"/>
    </row>
    <row r="23" spans="1:33" s="4" customFormat="1" x14ac:dyDescent="0.4">
      <c r="A23" s="102"/>
      <c r="B23" s="79">
        <f t="shared" si="0"/>
        <v>45502</v>
      </c>
      <c r="C23" s="71">
        <v>45502</v>
      </c>
      <c r="D23" s="104">
        <v>0</v>
      </c>
      <c r="E23" s="104"/>
      <c r="F23" s="106"/>
      <c r="G23" s="108"/>
      <c r="H23" s="168"/>
      <c r="I23" s="168"/>
      <c r="J23" s="168"/>
      <c r="K23" s="168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70"/>
      <c r="X23" s="169"/>
      <c r="Y23" s="169"/>
      <c r="Z23" s="171"/>
      <c r="AA23" s="169"/>
      <c r="AB23" s="169"/>
      <c r="AC23" s="169"/>
      <c r="AD23" s="169"/>
      <c r="AE23" s="169"/>
      <c r="AF23" s="111"/>
      <c r="AG23" s="111"/>
    </row>
    <row r="24" spans="1:33" ht="32.4" x14ac:dyDescent="0.4">
      <c r="A24" s="48">
        <v>45450</v>
      </c>
      <c r="B24" s="49">
        <f t="shared" si="0"/>
        <v>45502</v>
      </c>
      <c r="C24" s="75">
        <v>45502</v>
      </c>
      <c r="D24" s="16" t="s">
        <v>600</v>
      </c>
      <c r="E24" s="17" t="s">
        <v>644</v>
      </c>
      <c r="F24" s="36">
        <v>41321</v>
      </c>
      <c r="G24" s="37" t="s">
        <v>61</v>
      </c>
      <c r="H24" s="175" t="s">
        <v>421</v>
      </c>
      <c r="I24" s="158"/>
      <c r="J24" s="158"/>
      <c r="K24" s="158"/>
      <c r="L24" s="15"/>
      <c r="M24" s="15"/>
      <c r="N24" s="152">
        <v>1</v>
      </c>
      <c r="O24" s="15"/>
      <c r="P24" s="15"/>
      <c r="Q24" s="15"/>
      <c r="R24" s="15"/>
      <c r="S24" s="15"/>
      <c r="T24" s="15"/>
      <c r="U24" s="15"/>
      <c r="V24" s="15"/>
      <c r="W24" s="309">
        <v>5</v>
      </c>
      <c r="X24" s="309"/>
      <c r="Y24" s="15"/>
      <c r="Z24" s="157"/>
      <c r="AA24" s="309"/>
      <c r="AB24" s="309"/>
      <c r="AC24" s="309" t="s">
        <v>358</v>
      </c>
      <c r="AD24" s="157">
        <v>1</v>
      </c>
      <c r="AE24" s="148" t="s">
        <v>538</v>
      </c>
      <c r="AF24" s="83" t="s">
        <v>62</v>
      </c>
      <c r="AG24" s="83"/>
    </row>
    <row r="25" spans="1:33" s="5" customFormat="1" x14ac:dyDescent="0.4">
      <c r="A25" s="48">
        <v>45450</v>
      </c>
      <c r="B25" s="49">
        <f t="shared" si="0"/>
        <v>45502</v>
      </c>
      <c r="C25" s="19">
        <v>45502</v>
      </c>
      <c r="D25" s="17" t="s">
        <v>597</v>
      </c>
      <c r="E25" s="16" t="s">
        <v>598</v>
      </c>
      <c r="F25" s="20">
        <v>46264</v>
      </c>
      <c r="G25" s="32" t="s">
        <v>399</v>
      </c>
      <c r="H25" s="161" t="s">
        <v>93</v>
      </c>
      <c r="I25" s="41" t="s">
        <v>41</v>
      </c>
      <c r="J25" s="41" t="s">
        <v>41</v>
      </c>
      <c r="K25" s="41" t="s">
        <v>41</v>
      </c>
      <c r="L25" s="162" t="s">
        <v>41</v>
      </c>
      <c r="M25" s="162" t="s">
        <v>41</v>
      </c>
      <c r="N25" s="152" t="s">
        <v>41</v>
      </c>
      <c r="O25" s="172" t="s">
        <v>431</v>
      </c>
      <c r="P25" s="172" t="s">
        <v>431</v>
      </c>
      <c r="Q25" s="173">
        <v>5</v>
      </c>
      <c r="R25" s="173" t="s">
        <v>41</v>
      </c>
      <c r="S25" s="15"/>
      <c r="T25" s="15"/>
      <c r="U25" s="15"/>
      <c r="V25" s="15"/>
      <c r="W25" s="309">
        <v>5</v>
      </c>
      <c r="X25" s="309"/>
      <c r="Y25" s="153"/>
      <c r="Z25" s="174"/>
      <c r="AA25" s="167"/>
      <c r="AB25" s="167"/>
      <c r="AC25" s="153" t="s">
        <v>371</v>
      </c>
      <c r="AD25" s="174">
        <v>1</v>
      </c>
      <c r="AE25" s="15" t="s">
        <v>36</v>
      </c>
      <c r="AF25" s="38" t="s">
        <v>151</v>
      </c>
      <c r="AG25" s="114"/>
    </row>
    <row r="26" spans="1:33" s="5" customFormat="1" ht="81" x14ac:dyDescent="0.4">
      <c r="A26" s="48">
        <v>45450</v>
      </c>
      <c r="B26" s="49">
        <f t="shared" si="0"/>
        <v>45502</v>
      </c>
      <c r="C26" s="19">
        <v>45502</v>
      </c>
      <c r="D26" s="52" t="s">
        <v>595</v>
      </c>
      <c r="E26" s="16" t="s">
        <v>623</v>
      </c>
      <c r="F26" s="23">
        <v>42073</v>
      </c>
      <c r="G26" s="24" t="s">
        <v>407</v>
      </c>
      <c r="H26" s="161" t="s">
        <v>548</v>
      </c>
      <c r="I26" s="15"/>
      <c r="J26" s="15"/>
      <c r="K26" s="15"/>
      <c r="L26" s="162">
        <v>2</v>
      </c>
      <c r="M26" s="162">
        <v>4</v>
      </c>
      <c r="N26" s="15"/>
      <c r="O26" s="15"/>
      <c r="P26" s="15"/>
      <c r="Q26" s="15"/>
      <c r="R26" s="15"/>
      <c r="S26" s="15"/>
      <c r="T26" s="15"/>
      <c r="U26" s="15"/>
      <c r="V26" s="15"/>
      <c r="W26" s="309">
        <v>5</v>
      </c>
      <c r="X26" s="309"/>
      <c r="Y26" s="15" t="s">
        <v>384</v>
      </c>
      <c r="Z26" s="157">
        <v>0.1</v>
      </c>
      <c r="AA26" s="15"/>
      <c r="AB26" s="157"/>
      <c r="AC26" s="15" t="s">
        <v>361</v>
      </c>
      <c r="AD26" s="157">
        <v>1</v>
      </c>
      <c r="AE26" s="15" t="s">
        <v>346</v>
      </c>
      <c r="AF26" s="38" t="s">
        <v>63</v>
      </c>
      <c r="AG26" s="38"/>
    </row>
    <row r="27" spans="1:33" s="6" customFormat="1" ht="81" x14ac:dyDescent="0.4">
      <c r="A27" s="48">
        <v>45450</v>
      </c>
      <c r="B27" s="49">
        <f t="shared" si="0"/>
        <v>45502</v>
      </c>
      <c r="C27" s="19">
        <v>45502</v>
      </c>
      <c r="D27" s="52" t="s">
        <v>595</v>
      </c>
      <c r="E27" s="16" t="s">
        <v>623</v>
      </c>
      <c r="F27" s="23">
        <v>42073</v>
      </c>
      <c r="G27" s="24" t="s">
        <v>407</v>
      </c>
      <c r="H27" s="161" t="s">
        <v>63</v>
      </c>
      <c r="I27" s="41">
        <v>2</v>
      </c>
      <c r="J27" s="41">
        <v>2</v>
      </c>
      <c r="K27" s="41">
        <v>2</v>
      </c>
      <c r="L27" s="176"/>
      <c r="M27" s="176"/>
      <c r="N27" s="15"/>
      <c r="O27" s="15"/>
      <c r="P27" s="15"/>
      <c r="Q27" s="15"/>
      <c r="R27" s="15"/>
      <c r="S27" s="15"/>
      <c r="T27" s="15"/>
      <c r="U27" s="15"/>
      <c r="V27" s="15"/>
      <c r="W27" s="309">
        <v>5</v>
      </c>
      <c r="X27" s="309"/>
      <c r="Y27" s="177" t="s">
        <v>475</v>
      </c>
      <c r="Z27" s="157">
        <v>0.1</v>
      </c>
      <c r="AA27" s="309"/>
      <c r="AB27" s="309"/>
      <c r="AC27" s="15" t="s">
        <v>361</v>
      </c>
      <c r="AD27" s="157">
        <v>1</v>
      </c>
      <c r="AE27" s="15" t="s">
        <v>346</v>
      </c>
      <c r="AF27" s="38" t="s">
        <v>548</v>
      </c>
      <c r="AG27" s="38"/>
    </row>
    <row r="28" spans="1:33" s="6" customFormat="1" ht="81" x14ac:dyDescent="0.4">
      <c r="A28" s="48">
        <v>45450</v>
      </c>
      <c r="B28" s="49">
        <f t="shared" si="0"/>
        <v>45502</v>
      </c>
      <c r="C28" s="19">
        <v>45502</v>
      </c>
      <c r="D28" s="52" t="s">
        <v>595</v>
      </c>
      <c r="E28" s="16" t="s">
        <v>623</v>
      </c>
      <c r="F28" s="20">
        <v>42073</v>
      </c>
      <c r="G28" s="21" t="s">
        <v>410</v>
      </c>
      <c r="H28" s="161" t="s">
        <v>63</v>
      </c>
      <c r="I28" s="305"/>
      <c r="J28" s="305"/>
      <c r="K28" s="305"/>
      <c r="L28" s="15"/>
      <c r="M28" s="149"/>
      <c r="N28" s="152">
        <v>3</v>
      </c>
      <c r="O28" s="15"/>
      <c r="P28" s="15"/>
      <c r="Q28" s="15"/>
      <c r="R28" s="15"/>
      <c r="S28" s="15"/>
      <c r="T28" s="15"/>
      <c r="U28" s="15"/>
      <c r="V28" s="15"/>
      <c r="W28" s="309">
        <v>5</v>
      </c>
      <c r="X28" s="309"/>
      <c r="Y28" s="177" t="s">
        <v>475</v>
      </c>
      <c r="Z28" s="157">
        <v>0.1</v>
      </c>
      <c r="AA28" s="309"/>
      <c r="AB28" s="309"/>
      <c r="AC28" s="15" t="s">
        <v>361</v>
      </c>
      <c r="AD28" s="157">
        <v>1</v>
      </c>
      <c r="AE28" s="15" t="s">
        <v>346</v>
      </c>
      <c r="AF28" s="38" t="s">
        <v>548</v>
      </c>
      <c r="AG28" s="38"/>
    </row>
    <row r="29" spans="1:33" x14ac:dyDescent="0.4">
      <c r="A29" s="48">
        <v>45450</v>
      </c>
      <c r="B29" s="49">
        <f t="shared" si="0"/>
        <v>45502</v>
      </c>
      <c r="C29" s="75">
        <v>45502</v>
      </c>
      <c r="D29" s="17" t="s">
        <v>594</v>
      </c>
      <c r="E29" s="16" t="s">
        <v>652</v>
      </c>
      <c r="F29" s="36">
        <v>46803</v>
      </c>
      <c r="G29" s="37" t="s">
        <v>295</v>
      </c>
      <c r="H29" s="156" t="s">
        <v>76</v>
      </c>
      <c r="I29" s="82"/>
      <c r="J29" s="82"/>
      <c r="K29" s="8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60" t="s">
        <v>41</v>
      </c>
      <c r="W29" s="309">
        <v>5</v>
      </c>
      <c r="X29" s="309"/>
      <c r="Y29" s="15"/>
      <c r="Z29" s="157"/>
      <c r="AA29" s="167" t="s">
        <v>300</v>
      </c>
      <c r="AB29" s="167"/>
      <c r="AC29" s="15" t="s">
        <v>358</v>
      </c>
      <c r="AD29" s="157">
        <v>1</v>
      </c>
      <c r="AE29" s="15" t="s">
        <v>542</v>
      </c>
      <c r="AF29" s="83" t="s">
        <v>75</v>
      </c>
      <c r="AG29" s="83"/>
    </row>
    <row r="30" spans="1:33" s="4" customFormat="1" ht="81" x14ac:dyDescent="0.4">
      <c r="A30" s="48">
        <v>45450</v>
      </c>
      <c r="B30" s="49">
        <f t="shared" si="0"/>
        <v>45502</v>
      </c>
      <c r="C30" s="75">
        <v>45502</v>
      </c>
      <c r="D30" s="16" t="s">
        <v>593</v>
      </c>
      <c r="E30" s="17" t="s">
        <v>645</v>
      </c>
      <c r="F30" s="36">
        <v>46831</v>
      </c>
      <c r="G30" s="37" t="s">
        <v>219</v>
      </c>
      <c r="H30" s="156" t="s">
        <v>632</v>
      </c>
      <c r="I30" s="82"/>
      <c r="J30" s="82"/>
      <c r="K30" s="82"/>
      <c r="L30" s="15"/>
      <c r="M30" s="15"/>
      <c r="N30" s="152" t="s">
        <v>41</v>
      </c>
      <c r="O30" s="15"/>
      <c r="P30" s="15"/>
      <c r="Q30" s="15"/>
      <c r="R30" s="15"/>
      <c r="S30" s="15"/>
      <c r="T30" s="15"/>
      <c r="U30" s="15"/>
      <c r="V30" s="15"/>
      <c r="W30" s="309">
        <v>5</v>
      </c>
      <c r="X30" s="309"/>
      <c r="Y30" s="15"/>
      <c r="Z30" s="157"/>
      <c r="AA30" s="309"/>
      <c r="AB30" s="309"/>
      <c r="AC30" s="15" t="s">
        <v>358</v>
      </c>
      <c r="AD30" s="157">
        <v>1</v>
      </c>
      <c r="AE30" s="15" t="s">
        <v>540</v>
      </c>
      <c r="AF30" s="83" t="s">
        <v>633</v>
      </c>
      <c r="AG30" s="101" t="s">
        <v>634</v>
      </c>
    </row>
    <row r="31" spans="1:33" x14ac:dyDescent="0.4">
      <c r="A31" s="78"/>
      <c r="B31" s="79">
        <f t="shared" si="0"/>
        <v>45503</v>
      </c>
      <c r="C31" s="72">
        <v>45503</v>
      </c>
      <c r="D31" s="80">
        <v>0</v>
      </c>
      <c r="E31" s="107"/>
      <c r="F31" s="107"/>
      <c r="G31" s="109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78"/>
      <c r="X31" s="178"/>
      <c r="Y31" s="110"/>
      <c r="Z31" s="179"/>
      <c r="AA31" s="178"/>
      <c r="AB31" s="178"/>
      <c r="AC31" s="110"/>
      <c r="AD31" s="178"/>
      <c r="AE31" s="110"/>
      <c r="AF31" s="112"/>
      <c r="AG31" s="112"/>
    </row>
    <row r="32" spans="1:33" ht="32.4" x14ac:dyDescent="0.4">
      <c r="A32" s="48">
        <v>45450</v>
      </c>
      <c r="B32" s="49">
        <f t="shared" si="0"/>
        <v>45503</v>
      </c>
      <c r="C32" s="75">
        <v>45503</v>
      </c>
      <c r="D32" s="16" t="s">
        <v>600</v>
      </c>
      <c r="E32" s="16" t="s">
        <v>646</v>
      </c>
      <c r="F32" s="36">
        <v>46894</v>
      </c>
      <c r="G32" s="37" t="s">
        <v>311</v>
      </c>
      <c r="H32" s="156" t="s">
        <v>117</v>
      </c>
      <c r="I32" s="82"/>
      <c r="J32" s="82"/>
      <c r="K32" s="82"/>
      <c r="L32" s="15"/>
      <c r="M32" s="15"/>
      <c r="N32" s="152">
        <v>3</v>
      </c>
      <c r="O32" s="15"/>
      <c r="P32" s="15"/>
      <c r="Q32" s="15"/>
      <c r="R32" s="15"/>
      <c r="S32" s="15"/>
      <c r="T32" s="15"/>
      <c r="U32" s="15"/>
      <c r="V32" s="15"/>
      <c r="W32" s="309">
        <v>5</v>
      </c>
      <c r="X32" s="309"/>
      <c r="Y32" s="15" t="s">
        <v>582</v>
      </c>
      <c r="Z32" s="157">
        <v>0.16669999999999999</v>
      </c>
      <c r="AA32" s="309"/>
      <c r="AB32" s="309"/>
      <c r="AC32" s="309" t="s">
        <v>358</v>
      </c>
      <c r="AD32" s="157">
        <v>1</v>
      </c>
      <c r="AE32" s="15" t="s">
        <v>36</v>
      </c>
      <c r="AF32" s="83" t="s">
        <v>118</v>
      </c>
      <c r="AG32" s="83"/>
    </row>
    <row r="33" spans="1:33" ht="32.4" x14ac:dyDescent="0.4">
      <c r="A33" s="48">
        <v>45450</v>
      </c>
      <c r="B33" s="49">
        <f t="shared" si="0"/>
        <v>45503</v>
      </c>
      <c r="C33" s="19">
        <v>45503</v>
      </c>
      <c r="D33" s="16" t="s">
        <v>583</v>
      </c>
      <c r="E33" s="16" t="s">
        <v>598</v>
      </c>
      <c r="F33" s="36">
        <v>46890</v>
      </c>
      <c r="G33" s="37" t="s">
        <v>96</v>
      </c>
      <c r="H33" s="161" t="s">
        <v>89</v>
      </c>
      <c r="I33" s="41" t="s">
        <v>97</v>
      </c>
      <c r="J33" s="41" t="s">
        <v>41</v>
      </c>
      <c r="K33" s="41" t="s">
        <v>41</v>
      </c>
      <c r="L33" s="162" t="s">
        <v>41</v>
      </c>
      <c r="M33" s="162" t="s">
        <v>41</v>
      </c>
      <c r="N33" s="15"/>
      <c r="O33" s="172" t="s">
        <v>431</v>
      </c>
      <c r="P33" s="172" t="s">
        <v>431</v>
      </c>
      <c r="Q33" s="173">
        <v>7</v>
      </c>
      <c r="R33" s="173" t="s">
        <v>41</v>
      </c>
      <c r="S33" s="15"/>
      <c r="T33" s="15"/>
      <c r="U33" s="15"/>
      <c r="V33" s="15"/>
      <c r="W33" s="309">
        <v>5</v>
      </c>
      <c r="X33" s="309"/>
      <c r="Y33" s="15" t="s">
        <v>328</v>
      </c>
      <c r="Z33" s="157">
        <v>0.1</v>
      </c>
      <c r="AA33" s="309"/>
      <c r="AB33" s="309"/>
      <c r="AC33" s="309" t="s">
        <v>361</v>
      </c>
      <c r="AD33" s="157">
        <v>1</v>
      </c>
      <c r="AE33" s="15" t="s">
        <v>36</v>
      </c>
      <c r="AF33" s="38" t="s">
        <v>98</v>
      </c>
      <c r="AG33" s="38"/>
    </row>
    <row r="34" spans="1:33" s="14" customFormat="1" ht="19.8" customHeight="1" x14ac:dyDescent="0.3">
      <c r="A34" s="48">
        <v>45450</v>
      </c>
      <c r="B34" s="49">
        <f t="shared" si="0"/>
        <v>45503</v>
      </c>
      <c r="C34" s="19">
        <v>45503</v>
      </c>
      <c r="D34" s="16" t="s">
        <v>584</v>
      </c>
      <c r="E34" s="16" t="s">
        <v>586</v>
      </c>
      <c r="F34" s="36">
        <v>45281</v>
      </c>
      <c r="G34" s="32" t="s">
        <v>166</v>
      </c>
      <c r="H34" s="180" t="s">
        <v>272</v>
      </c>
      <c r="I34" s="41">
        <v>1</v>
      </c>
      <c r="J34" s="41">
        <v>1</v>
      </c>
      <c r="K34" s="41">
        <v>1</v>
      </c>
      <c r="L34" s="162">
        <v>1</v>
      </c>
      <c r="M34" s="162">
        <v>3</v>
      </c>
      <c r="N34" s="15"/>
      <c r="O34" s="181">
        <v>1</v>
      </c>
      <c r="P34" s="181">
        <v>1</v>
      </c>
      <c r="Q34" s="182"/>
      <c r="R34" s="182"/>
      <c r="S34" s="15"/>
      <c r="T34" s="15"/>
      <c r="U34" s="15"/>
      <c r="V34" s="15"/>
      <c r="W34" s="309">
        <v>5</v>
      </c>
      <c r="X34" s="309"/>
      <c r="Y34" s="153"/>
      <c r="Z34" s="174"/>
      <c r="AA34" s="167"/>
      <c r="AB34" s="167"/>
      <c r="AC34" s="153" t="s">
        <v>357</v>
      </c>
      <c r="AD34" s="174">
        <v>1</v>
      </c>
      <c r="AE34" s="15" t="s">
        <v>119</v>
      </c>
      <c r="AF34" s="38" t="s">
        <v>167</v>
      </c>
      <c r="AG34" s="38"/>
    </row>
    <row r="35" spans="1:33" x14ac:dyDescent="0.4">
      <c r="A35" s="48">
        <v>45450</v>
      </c>
      <c r="B35" s="49">
        <f t="shared" si="0"/>
        <v>45503</v>
      </c>
      <c r="C35" s="19">
        <v>45503</v>
      </c>
      <c r="D35" s="52" t="s">
        <v>585</v>
      </c>
      <c r="E35" s="16" t="s">
        <v>586</v>
      </c>
      <c r="F35" s="36">
        <v>41063</v>
      </c>
      <c r="G35" s="37" t="s">
        <v>147</v>
      </c>
      <c r="H35" s="161" t="s">
        <v>146</v>
      </c>
      <c r="I35" s="305"/>
      <c r="J35" s="305"/>
      <c r="K35" s="305"/>
      <c r="L35" s="15"/>
      <c r="M35" s="15"/>
      <c r="N35" s="152">
        <v>1</v>
      </c>
      <c r="O35" s="15"/>
      <c r="P35" s="15"/>
      <c r="Q35" s="15"/>
      <c r="R35" s="15"/>
      <c r="S35" s="15"/>
      <c r="T35" s="15"/>
      <c r="U35" s="15"/>
      <c r="V35" s="15"/>
      <c r="W35" s="126">
        <v>5</v>
      </c>
      <c r="X35" s="126"/>
      <c r="Y35" s="153"/>
      <c r="Z35" s="174"/>
      <c r="AA35" s="167"/>
      <c r="AB35" s="167"/>
      <c r="AC35" s="167" t="s">
        <v>359</v>
      </c>
      <c r="AD35" s="174">
        <v>1</v>
      </c>
      <c r="AE35" s="15" t="s">
        <v>50</v>
      </c>
      <c r="AF35" s="38" t="s">
        <v>54</v>
      </c>
      <c r="AG35" s="38"/>
    </row>
    <row r="36" spans="1:33" x14ac:dyDescent="0.4">
      <c r="A36" s="78"/>
      <c r="B36" s="79">
        <f t="shared" si="0"/>
        <v>45504</v>
      </c>
      <c r="C36" s="72">
        <v>45504</v>
      </c>
      <c r="D36" s="80">
        <v>0</v>
      </c>
      <c r="E36" s="107"/>
      <c r="F36" s="107"/>
      <c r="G36" s="109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78"/>
      <c r="X36" s="178"/>
      <c r="Y36" s="110"/>
      <c r="Z36" s="179"/>
      <c r="AA36" s="178"/>
      <c r="AB36" s="178"/>
      <c r="AC36" s="110"/>
      <c r="AD36" s="178"/>
      <c r="AE36" s="110"/>
      <c r="AF36" s="112"/>
      <c r="AG36" s="112"/>
    </row>
    <row r="37" spans="1:33" ht="32.4" x14ac:dyDescent="0.4">
      <c r="A37" s="48">
        <v>45450</v>
      </c>
      <c r="B37" s="49">
        <f t="shared" si="0"/>
        <v>45504</v>
      </c>
      <c r="C37" s="19">
        <v>45504</v>
      </c>
      <c r="D37" s="16" t="s">
        <v>583</v>
      </c>
      <c r="E37" s="16" t="s">
        <v>598</v>
      </c>
      <c r="F37" s="20">
        <v>43211</v>
      </c>
      <c r="G37" s="32" t="s">
        <v>297</v>
      </c>
      <c r="H37" s="69" t="s">
        <v>456</v>
      </c>
      <c r="I37" s="15"/>
      <c r="J37" s="41">
        <v>3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26">
        <v>5</v>
      </c>
      <c r="X37" s="126"/>
      <c r="Y37" s="183" t="s">
        <v>373</v>
      </c>
      <c r="Z37" s="174">
        <v>0.15</v>
      </c>
      <c r="AA37" s="167"/>
      <c r="AB37" s="167"/>
      <c r="AC37" s="167" t="s">
        <v>361</v>
      </c>
      <c r="AD37" s="174">
        <v>1</v>
      </c>
      <c r="AE37" s="184" t="s">
        <v>473</v>
      </c>
      <c r="AF37" s="38" t="s">
        <v>167</v>
      </c>
      <c r="AG37" s="38"/>
    </row>
    <row r="38" spans="1:33" ht="32.4" x14ac:dyDescent="0.4">
      <c r="A38" s="48">
        <v>45450</v>
      </c>
      <c r="B38" s="49">
        <f t="shared" si="0"/>
        <v>45504</v>
      </c>
      <c r="C38" s="19">
        <v>45504</v>
      </c>
      <c r="D38" s="16" t="s">
        <v>583</v>
      </c>
      <c r="E38" s="16" t="s">
        <v>611</v>
      </c>
      <c r="F38" s="22">
        <v>43076</v>
      </c>
      <c r="G38" s="61" t="s">
        <v>440</v>
      </c>
      <c r="H38" s="180" t="s">
        <v>63</v>
      </c>
      <c r="I38" s="117"/>
      <c r="J38" s="117"/>
      <c r="K38" s="185">
        <v>3</v>
      </c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86">
        <v>5</v>
      </c>
      <c r="X38" s="186"/>
      <c r="Y38" s="17"/>
      <c r="Z38" s="187"/>
      <c r="AA38" s="188"/>
      <c r="AB38" s="188"/>
      <c r="AC38" s="17" t="s">
        <v>361</v>
      </c>
      <c r="AD38" s="174">
        <v>1</v>
      </c>
      <c r="AE38" s="189" t="s">
        <v>39</v>
      </c>
      <c r="AF38" s="38" t="s">
        <v>387</v>
      </c>
      <c r="AG38" s="190"/>
    </row>
    <row r="39" spans="1:33" x14ac:dyDescent="0.4">
      <c r="A39" s="48">
        <v>45450</v>
      </c>
      <c r="B39" s="49">
        <f t="shared" si="0"/>
        <v>45504</v>
      </c>
      <c r="C39" s="75">
        <v>45504</v>
      </c>
      <c r="D39" s="16" t="s">
        <v>602</v>
      </c>
      <c r="E39" s="16" t="s">
        <v>643</v>
      </c>
      <c r="F39" s="36">
        <v>46902</v>
      </c>
      <c r="G39" s="37" t="s">
        <v>175</v>
      </c>
      <c r="H39" s="156" t="s">
        <v>375</v>
      </c>
      <c r="I39" s="82"/>
      <c r="J39" s="82"/>
      <c r="K39" s="82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0" t="s">
        <v>72</v>
      </c>
      <c r="W39" s="126">
        <v>5</v>
      </c>
      <c r="X39" s="15"/>
      <c r="Y39" s="15"/>
      <c r="Z39" s="159"/>
      <c r="AA39" s="15" t="s">
        <v>541</v>
      </c>
      <c r="AB39" s="157">
        <v>0.5</v>
      </c>
      <c r="AC39" s="15" t="s">
        <v>358</v>
      </c>
      <c r="AD39" s="157">
        <v>0.5</v>
      </c>
      <c r="AE39" s="15" t="s">
        <v>144</v>
      </c>
      <c r="AF39" s="191" t="s">
        <v>350</v>
      </c>
      <c r="AG39" s="191"/>
    </row>
    <row r="40" spans="1:33" ht="32.4" x14ac:dyDescent="0.4">
      <c r="A40" s="48">
        <v>45450</v>
      </c>
      <c r="B40" s="49">
        <f t="shared" si="0"/>
        <v>45504</v>
      </c>
      <c r="C40" s="19">
        <v>45504</v>
      </c>
      <c r="D40" s="52" t="s">
        <v>603</v>
      </c>
      <c r="E40" s="16" t="s">
        <v>596</v>
      </c>
      <c r="F40" s="20">
        <v>43022</v>
      </c>
      <c r="G40" s="32" t="s">
        <v>294</v>
      </c>
      <c r="H40" s="161" t="s">
        <v>93</v>
      </c>
      <c r="I40" s="41">
        <v>3</v>
      </c>
      <c r="J40" s="15"/>
      <c r="K40" s="15"/>
      <c r="L40" s="162">
        <v>3</v>
      </c>
      <c r="M40" s="162">
        <v>3</v>
      </c>
      <c r="N40" s="15"/>
      <c r="O40" s="172" t="s">
        <v>431</v>
      </c>
      <c r="P40" s="172" t="s">
        <v>431</v>
      </c>
      <c r="Q40" s="173">
        <v>5</v>
      </c>
      <c r="R40" s="15"/>
      <c r="S40" s="15"/>
      <c r="T40" s="15"/>
      <c r="U40" s="15"/>
      <c r="V40" s="15"/>
      <c r="W40" s="126">
        <v>5</v>
      </c>
      <c r="X40" s="309"/>
      <c r="Y40" s="15"/>
      <c r="Z40" s="157"/>
      <c r="AA40" s="309"/>
      <c r="AB40" s="309"/>
      <c r="AC40" s="15" t="s">
        <v>358</v>
      </c>
      <c r="AD40" s="157">
        <v>1</v>
      </c>
      <c r="AE40" s="15" t="s">
        <v>36</v>
      </c>
      <c r="AF40" s="38" t="s">
        <v>151</v>
      </c>
      <c r="AG40" s="114"/>
    </row>
    <row r="41" spans="1:33" x14ac:dyDescent="0.4">
      <c r="A41" s="48">
        <v>45450</v>
      </c>
      <c r="B41" s="49">
        <f t="shared" si="0"/>
        <v>45504</v>
      </c>
      <c r="C41" s="75">
        <v>45504</v>
      </c>
      <c r="D41" s="16" t="s">
        <v>629</v>
      </c>
      <c r="E41" s="16" t="s">
        <v>586</v>
      </c>
      <c r="F41" s="33">
        <v>46862</v>
      </c>
      <c r="G41" s="57" t="s">
        <v>525</v>
      </c>
      <c r="H41" s="161" t="s">
        <v>169</v>
      </c>
      <c r="I41" s="305"/>
      <c r="J41" s="305"/>
      <c r="K41" s="305"/>
      <c r="L41" s="15"/>
      <c r="M41" s="15"/>
      <c r="N41" s="15"/>
      <c r="O41" s="15"/>
      <c r="P41" s="15"/>
      <c r="Q41" s="15"/>
      <c r="R41" s="15"/>
      <c r="S41" s="163" t="s">
        <v>11</v>
      </c>
      <c r="T41" s="163" t="s">
        <v>41</v>
      </c>
      <c r="U41" s="164" t="s">
        <v>41</v>
      </c>
      <c r="V41" s="160" t="s">
        <v>79</v>
      </c>
      <c r="W41" s="126">
        <v>5</v>
      </c>
      <c r="X41" s="126"/>
      <c r="Y41" s="153"/>
      <c r="Z41" s="174"/>
      <c r="AA41" s="153" t="s">
        <v>309</v>
      </c>
      <c r="AB41" s="174">
        <v>0.4</v>
      </c>
      <c r="AC41" s="153" t="s">
        <v>361</v>
      </c>
      <c r="AD41" s="174">
        <v>0.6</v>
      </c>
      <c r="AE41" s="15" t="s">
        <v>36</v>
      </c>
      <c r="AF41" s="153" t="s">
        <v>360</v>
      </c>
      <c r="AG41" s="153"/>
    </row>
    <row r="42" spans="1:33" s="4" customFormat="1" ht="81" x14ac:dyDescent="0.4">
      <c r="A42" s="48">
        <v>45450</v>
      </c>
      <c r="B42" s="49">
        <f t="shared" ref="B42:B73" si="1">IF(C42="","",C42)</f>
        <v>45504</v>
      </c>
      <c r="C42" s="75">
        <v>45504</v>
      </c>
      <c r="D42" s="16" t="s">
        <v>647</v>
      </c>
      <c r="E42" s="16" t="s">
        <v>648</v>
      </c>
      <c r="F42" s="33">
        <v>43343</v>
      </c>
      <c r="G42" s="29" t="s">
        <v>143</v>
      </c>
      <c r="H42" s="156" t="s">
        <v>483</v>
      </c>
      <c r="I42" s="158"/>
      <c r="J42" s="158"/>
      <c r="K42" s="158"/>
      <c r="L42" s="15"/>
      <c r="M42" s="15"/>
      <c r="N42" s="152">
        <v>2</v>
      </c>
      <c r="O42" s="15"/>
      <c r="P42" s="15"/>
      <c r="Q42" s="15"/>
      <c r="R42" s="15"/>
      <c r="S42" s="15"/>
      <c r="T42" s="15"/>
      <c r="U42" s="15"/>
      <c r="V42" s="15"/>
      <c r="W42" s="126">
        <v>5</v>
      </c>
      <c r="X42" s="126"/>
      <c r="Y42" s="15"/>
      <c r="Z42" s="157"/>
      <c r="AA42" s="309"/>
      <c r="AB42" s="166"/>
      <c r="AC42" s="166" t="s">
        <v>358</v>
      </c>
      <c r="AD42" s="165">
        <v>1</v>
      </c>
      <c r="AE42" s="69" t="s">
        <v>363</v>
      </c>
      <c r="AF42" s="116" t="s">
        <v>484</v>
      </c>
      <c r="AG42" s="116"/>
    </row>
    <row r="43" spans="1:33" x14ac:dyDescent="0.4">
      <c r="A43" s="103"/>
      <c r="B43" s="79">
        <f t="shared" si="1"/>
        <v>45505</v>
      </c>
      <c r="C43" s="72">
        <v>45505</v>
      </c>
      <c r="D43" s="105">
        <v>0</v>
      </c>
      <c r="E43" s="105"/>
      <c r="F43" s="107"/>
      <c r="G43" s="109"/>
      <c r="H43" s="192"/>
      <c r="I43" s="192"/>
      <c r="J43" s="192"/>
      <c r="K43" s="192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78"/>
      <c r="X43" s="110"/>
      <c r="Y43" s="110"/>
      <c r="Z43" s="193"/>
      <c r="AA43" s="110"/>
      <c r="AB43" s="110"/>
      <c r="AC43" s="110"/>
      <c r="AD43" s="110"/>
      <c r="AE43" s="110"/>
      <c r="AF43" s="115"/>
      <c r="AG43" s="115"/>
    </row>
    <row r="44" spans="1:33" ht="81" x14ac:dyDescent="0.4">
      <c r="A44" s="48">
        <v>45450</v>
      </c>
      <c r="B44" s="49">
        <f t="shared" si="1"/>
        <v>45505</v>
      </c>
      <c r="C44" s="75">
        <v>45505</v>
      </c>
      <c r="D44" s="16" t="s">
        <v>600</v>
      </c>
      <c r="E44" s="16" t="s">
        <v>649</v>
      </c>
      <c r="F44" s="23">
        <v>42331</v>
      </c>
      <c r="G44" s="29" t="s">
        <v>163</v>
      </c>
      <c r="H44" s="175" t="s">
        <v>587</v>
      </c>
      <c r="I44" s="82"/>
      <c r="J44" s="82"/>
      <c r="K44" s="82"/>
      <c r="L44" s="15"/>
      <c r="M44" s="15"/>
      <c r="N44" s="152">
        <v>2</v>
      </c>
      <c r="O44" s="15"/>
      <c r="P44" s="15"/>
      <c r="Q44" s="15"/>
      <c r="R44" s="15"/>
      <c r="S44" s="15"/>
      <c r="T44" s="15"/>
      <c r="U44" s="15"/>
      <c r="V44" s="15"/>
      <c r="W44" s="126">
        <v>5</v>
      </c>
      <c r="X44" s="126"/>
      <c r="Y44" s="15" t="s">
        <v>300</v>
      </c>
      <c r="Z44" s="157"/>
      <c r="AA44" s="126"/>
      <c r="AB44" s="126"/>
      <c r="AC44" s="126" t="s">
        <v>358</v>
      </c>
      <c r="AD44" s="157">
        <v>1</v>
      </c>
      <c r="AE44" s="15" t="s">
        <v>536</v>
      </c>
      <c r="AF44" s="151" t="s">
        <v>588</v>
      </c>
      <c r="AG44" s="150"/>
    </row>
    <row r="45" spans="1:33" ht="32.4" x14ac:dyDescent="0.4">
      <c r="A45" s="48">
        <v>45450</v>
      </c>
      <c r="B45" s="49">
        <f t="shared" si="1"/>
        <v>45505</v>
      </c>
      <c r="C45" s="50">
        <v>45505</v>
      </c>
      <c r="D45" s="17" t="s">
        <v>605</v>
      </c>
      <c r="E45" s="16" t="s">
        <v>598</v>
      </c>
      <c r="F45" s="20">
        <v>46810</v>
      </c>
      <c r="G45" s="32" t="s">
        <v>281</v>
      </c>
      <c r="H45" s="161" t="s">
        <v>489</v>
      </c>
      <c r="I45" s="41" t="s">
        <v>41</v>
      </c>
      <c r="J45" s="41" t="s">
        <v>41</v>
      </c>
      <c r="K45" s="41" t="s">
        <v>450</v>
      </c>
      <c r="L45" s="162" t="s">
        <v>41</v>
      </c>
      <c r="M45" s="162" t="s">
        <v>41</v>
      </c>
      <c r="N45" s="15"/>
      <c r="O45" s="172" t="s">
        <v>487</v>
      </c>
      <c r="P45" s="172">
        <v>3</v>
      </c>
      <c r="Q45" s="173" t="s">
        <v>41</v>
      </c>
      <c r="R45" s="173">
        <v>5</v>
      </c>
      <c r="S45" s="15"/>
      <c r="T45" s="15"/>
      <c r="U45" s="15"/>
      <c r="V45" s="15"/>
      <c r="W45" s="15">
        <v>5</v>
      </c>
      <c r="X45" s="15"/>
      <c r="Y45" s="153" t="s">
        <v>474</v>
      </c>
      <c r="Z45" s="155">
        <v>0.15</v>
      </c>
      <c r="AA45" s="153"/>
      <c r="AB45" s="153"/>
      <c r="AC45" s="153" t="s">
        <v>361</v>
      </c>
      <c r="AD45" s="155">
        <v>1</v>
      </c>
      <c r="AE45" s="15" t="s">
        <v>36</v>
      </c>
      <c r="AF45" s="38" t="s">
        <v>245</v>
      </c>
      <c r="AG45" s="39"/>
    </row>
    <row r="46" spans="1:33" ht="32.4" x14ac:dyDescent="0.4">
      <c r="A46" s="48">
        <v>45450</v>
      </c>
      <c r="B46" s="49">
        <f t="shared" si="1"/>
        <v>45505</v>
      </c>
      <c r="C46" s="75">
        <v>45505</v>
      </c>
      <c r="D46" s="16" t="s">
        <v>604</v>
      </c>
      <c r="E46" s="17" t="s">
        <v>646</v>
      </c>
      <c r="F46" s="23">
        <v>46824</v>
      </c>
      <c r="G46" s="29" t="s">
        <v>278</v>
      </c>
      <c r="H46" s="156" t="s">
        <v>571</v>
      </c>
      <c r="I46" s="82"/>
      <c r="J46" s="82"/>
      <c r="K46" s="82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60" t="s">
        <v>72</v>
      </c>
      <c r="W46" s="309">
        <v>5</v>
      </c>
      <c r="X46" s="309"/>
      <c r="Y46" s="69"/>
      <c r="Z46" s="165"/>
      <c r="AA46" s="69" t="s">
        <v>544</v>
      </c>
      <c r="AB46" s="165">
        <v>0.3</v>
      </c>
      <c r="AC46" s="69" t="s">
        <v>543</v>
      </c>
      <c r="AD46" s="157">
        <v>0.7</v>
      </c>
      <c r="AE46" s="15" t="s">
        <v>545</v>
      </c>
      <c r="AF46" s="83" t="s">
        <v>62</v>
      </c>
      <c r="AG46" s="83"/>
    </row>
    <row r="47" spans="1:33" ht="48.6" x14ac:dyDescent="0.4">
      <c r="A47" s="48">
        <v>45450</v>
      </c>
      <c r="B47" s="49">
        <f t="shared" si="1"/>
        <v>45505</v>
      </c>
      <c r="C47" s="90">
        <v>45505</v>
      </c>
      <c r="D47" s="16" t="s">
        <v>593</v>
      </c>
      <c r="E47" s="16" t="s">
        <v>650</v>
      </c>
      <c r="F47" s="36">
        <v>46837</v>
      </c>
      <c r="G47" s="37" t="s">
        <v>263</v>
      </c>
      <c r="H47" s="156" t="s">
        <v>375</v>
      </c>
      <c r="I47" s="158"/>
      <c r="J47" s="158"/>
      <c r="K47" s="158"/>
      <c r="L47" s="15"/>
      <c r="M47" s="15"/>
      <c r="N47" s="152" t="s">
        <v>41</v>
      </c>
      <c r="O47" s="15"/>
      <c r="P47" s="15"/>
      <c r="Q47" s="15"/>
      <c r="R47" s="15"/>
      <c r="S47" s="15"/>
      <c r="T47" s="15"/>
      <c r="U47" s="15"/>
      <c r="V47" s="15"/>
      <c r="W47" s="309">
        <v>5</v>
      </c>
      <c r="X47" s="15"/>
      <c r="Y47" s="15"/>
      <c r="Z47" s="159"/>
      <c r="AA47" s="15"/>
      <c r="AB47" s="15"/>
      <c r="AC47" s="15" t="s">
        <v>358</v>
      </c>
      <c r="AD47" s="157">
        <v>1</v>
      </c>
      <c r="AE47" s="15" t="s">
        <v>144</v>
      </c>
      <c r="AF47" s="116" t="s">
        <v>350</v>
      </c>
      <c r="AG47" s="101" t="s">
        <v>628</v>
      </c>
    </row>
    <row r="48" spans="1:33" x14ac:dyDescent="0.4">
      <c r="A48" s="78"/>
      <c r="B48" s="79">
        <f t="shared" si="1"/>
        <v>45506</v>
      </c>
      <c r="C48" s="72">
        <v>45506</v>
      </c>
      <c r="D48" s="80">
        <v>0</v>
      </c>
      <c r="E48" s="107"/>
      <c r="F48" s="107"/>
      <c r="G48" s="109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78"/>
      <c r="X48" s="178"/>
      <c r="Y48" s="110"/>
      <c r="Z48" s="179"/>
      <c r="AA48" s="178"/>
      <c r="AB48" s="178"/>
      <c r="AC48" s="110"/>
      <c r="AD48" s="178"/>
      <c r="AE48" s="110"/>
      <c r="AF48" s="112"/>
      <c r="AG48" s="112"/>
    </row>
    <row r="49" spans="1:33" s="4" customFormat="1" ht="32.4" x14ac:dyDescent="0.4">
      <c r="A49" s="48">
        <v>45450</v>
      </c>
      <c r="B49" s="49">
        <f t="shared" si="1"/>
        <v>45506</v>
      </c>
      <c r="C49" s="75">
        <v>45506</v>
      </c>
      <c r="D49" s="16" t="s">
        <v>600</v>
      </c>
      <c r="E49" s="16" t="s">
        <v>638</v>
      </c>
      <c r="F49" s="33">
        <v>44492</v>
      </c>
      <c r="G49" s="29" t="s">
        <v>349</v>
      </c>
      <c r="H49" s="156" t="s">
        <v>117</v>
      </c>
      <c r="I49" s="82"/>
      <c r="J49" s="82"/>
      <c r="K49" s="82"/>
      <c r="L49" s="15"/>
      <c r="M49" s="15"/>
      <c r="N49" s="152">
        <v>4</v>
      </c>
      <c r="O49" s="15"/>
      <c r="P49" s="15"/>
      <c r="Q49" s="15"/>
      <c r="R49" s="15"/>
      <c r="S49" s="15"/>
      <c r="T49" s="15"/>
      <c r="U49" s="15"/>
      <c r="V49" s="15"/>
      <c r="W49" s="126">
        <v>2.5</v>
      </c>
      <c r="X49" s="126"/>
      <c r="Y49" s="15" t="s">
        <v>475</v>
      </c>
      <c r="Z49" s="157">
        <v>0.16669999999999999</v>
      </c>
      <c r="AA49" s="126"/>
      <c r="AB49" s="126"/>
      <c r="AC49" s="309" t="s">
        <v>502</v>
      </c>
      <c r="AD49" s="157">
        <v>1</v>
      </c>
      <c r="AE49" s="15" t="s">
        <v>36</v>
      </c>
      <c r="AF49" s="83" t="s">
        <v>118</v>
      </c>
      <c r="AG49" s="39"/>
    </row>
    <row r="50" spans="1:33" x14ac:dyDescent="0.4">
      <c r="A50" s="48">
        <v>45450</v>
      </c>
      <c r="B50" s="49">
        <f t="shared" si="1"/>
        <v>45506</v>
      </c>
      <c r="C50" s="19">
        <v>45506</v>
      </c>
      <c r="D50" s="16" t="s">
        <v>583</v>
      </c>
      <c r="E50" s="16" t="s">
        <v>598</v>
      </c>
      <c r="F50" s="66">
        <v>44441</v>
      </c>
      <c r="G50" s="61" t="s">
        <v>68</v>
      </c>
      <c r="H50" s="16" t="s">
        <v>400</v>
      </c>
      <c r="I50" s="185" t="s">
        <v>41</v>
      </c>
      <c r="J50" s="148"/>
      <c r="K50" s="185" t="s">
        <v>41</v>
      </c>
      <c r="L50" s="194">
        <v>3</v>
      </c>
      <c r="M50" s="194">
        <v>5</v>
      </c>
      <c r="N50" s="148"/>
      <c r="O50" s="148"/>
      <c r="P50" s="148"/>
      <c r="Q50" s="148"/>
      <c r="R50" s="148"/>
      <c r="S50" s="148"/>
      <c r="T50" s="148"/>
      <c r="U50" s="148"/>
      <c r="V50" s="148"/>
      <c r="W50" s="186">
        <v>5</v>
      </c>
      <c r="X50" s="186"/>
      <c r="Y50" s="17"/>
      <c r="Z50" s="187"/>
      <c r="AA50" s="188"/>
      <c r="AB50" s="188"/>
      <c r="AC50" s="17" t="s">
        <v>361</v>
      </c>
      <c r="AD50" s="187">
        <v>1</v>
      </c>
      <c r="AE50" s="148" t="s">
        <v>36</v>
      </c>
      <c r="AF50" s="190" t="s">
        <v>64</v>
      </c>
      <c r="AG50" s="39"/>
    </row>
    <row r="51" spans="1:33" s="4" customFormat="1" ht="32.4" x14ac:dyDescent="0.4">
      <c r="A51" s="48">
        <v>45450</v>
      </c>
      <c r="B51" s="49">
        <f t="shared" si="1"/>
        <v>45506</v>
      </c>
      <c r="C51" s="19">
        <v>45506</v>
      </c>
      <c r="D51" s="16" t="s">
        <v>606</v>
      </c>
      <c r="E51" s="16" t="s">
        <v>599</v>
      </c>
      <c r="F51" s="20">
        <v>47612</v>
      </c>
      <c r="G51" s="37" t="s">
        <v>199</v>
      </c>
      <c r="H51" s="161" t="s">
        <v>109</v>
      </c>
      <c r="I51" s="305"/>
      <c r="J51" s="305"/>
      <c r="K51" s="305"/>
      <c r="L51" s="15"/>
      <c r="M51" s="15"/>
      <c r="N51" s="15"/>
      <c r="O51" s="15"/>
      <c r="P51" s="15"/>
      <c r="Q51" s="15"/>
      <c r="R51" s="15"/>
      <c r="S51" s="15"/>
      <c r="T51" s="15"/>
      <c r="U51" s="164" t="s">
        <v>112</v>
      </c>
      <c r="V51" s="15"/>
      <c r="W51" s="126">
        <v>5</v>
      </c>
      <c r="X51" s="126"/>
      <c r="Y51" s="15"/>
      <c r="Z51" s="157"/>
      <c r="AA51" s="309"/>
      <c r="AB51" s="309"/>
      <c r="AC51" s="15" t="s">
        <v>385</v>
      </c>
      <c r="AD51" s="157">
        <v>1</v>
      </c>
      <c r="AE51" s="15" t="s">
        <v>36</v>
      </c>
      <c r="AF51" s="38" t="s">
        <v>40</v>
      </c>
      <c r="AG51" s="38"/>
    </row>
    <row r="52" spans="1:33" ht="81" x14ac:dyDescent="0.4">
      <c r="A52" s="48">
        <v>45450</v>
      </c>
      <c r="B52" s="49">
        <f t="shared" si="1"/>
        <v>45506</v>
      </c>
      <c r="C52" s="19">
        <v>45506</v>
      </c>
      <c r="D52" s="52" t="s">
        <v>605</v>
      </c>
      <c r="E52" s="16" t="s">
        <v>623</v>
      </c>
      <c r="F52" s="22">
        <v>41011</v>
      </c>
      <c r="G52" s="40" t="s">
        <v>186</v>
      </c>
      <c r="H52" s="180" t="s">
        <v>156</v>
      </c>
      <c r="I52" s="195"/>
      <c r="J52" s="195"/>
      <c r="K52" s="195"/>
      <c r="L52" s="148"/>
      <c r="M52" s="148"/>
      <c r="N52" s="196">
        <v>1</v>
      </c>
      <c r="O52" s="148"/>
      <c r="P52" s="148"/>
      <c r="Q52" s="148"/>
      <c r="R52" s="148"/>
      <c r="S52" s="148"/>
      <c r="T52" s="148"/>
      <c r="U52" s="148"/>
      <c r="V52" s="148"/>
      <c r="W52" s="186">
        <v>5</v>
      </c>
      <c r="X52" s="186"/>
      <c r="Y52" s="148" t="s">
        <v>552</v>
      </c>
      <c r="Z52" s="197">
        <v>0.1</v>
      </c>
      <c r="AA52" s="198"/>
      <c r="AB52" s="186"/>
      <c r="AC52" s="186" t="s">
        <v>361</v>
      </c>
      <c r="AD52" s="197">
        <v>1</v>
      </c>
      <c r="AE52" s="148" t="s">
        <v>36</v>
      </c>
      <c r="AF52" s="190" t="s">
        <v>387</v>
      </c>
      <c r="AG52" s="190"/>
    </row>
    <row r="53" spans="1:33" ht="81" x14ac:dyDescent="0.4">
      <c r="A53" s="48">
        <v>45450</v>
      </c>
      <c r="B53" s="49">
        <f t="shared" si="1"/>
        <v>45506</v>
      </c>
      <c r="C53" s="19">
        <v>45506</v>
      </c>
      <c r="D53" s="52" t="s">
        <v>605</v>
      </c>
      <c r="E53" s="16" t="s">
        <v>623</v>
      </c>
      <c r="F53" s="20">
        <v>41011</v>
      </c>
      <c r="G53" s="37" t="s">
        <v>186</v>
      </c>
      <c r="H53" s="161" t="s">
        <v>387</v>
      </c>
      <c r="I53" s="41">
        <v>1</v>
      </c>
      <c r="J53" s="41">
        <v>1</v>
      </c>
      <c r="K53" s="41">
        <v>1</v>
      </c>
      <c r="L53" s="162">
        <v>1</v>
      </c>
      <c r="M53" s="162">
        <v>1</v>
      </c>
      <c r="N53" s="149"/>
      <c r="O53" s="149"/>
      <c r="P53" s="149"/>
      <c r="Q53" s="15"/>
      <c r="R53" s="15"/>
      <c r="S53" s="15"/>
      <c r="T53" s="15"/>
      <c r="U53" s="15"/>
      <c r="V53" s="15"/>
      <c r="W53" s="126">
        <v>8</v>
      </c>
      <c r="X53" s="126"/>
      <c r="Y53" s="15" t="s">
        <v>172</v>
      </c>
      <c r="Z53" s="157">
        <v>0.1</v>
      </c>
      <c r="AA53" s="195"/>
      <c r="AB53" s="126"/>
      <c r="AC53" s="15" t="s">
        <v>361</v>
      </c>
      <c r="AD53" s="157">
        <v>1</v>
      </c>
      <c r="AE53" s="15" t="s">
        <v>36</v>
      </c>
      <c r="AF53" s="38" t="s">
        <v>253</v>
      </c>
      <c r="AG53" s="114"/>
    </row>
    <row r="54" spans="1:33" ht="81" x14ac:dyDescent="0.4">
      <c r="A54" s="48">
        <v>45450</v>
      </c>
      <c r="B54" s="49">
        <f t="shared" si="1"/>
        <v>45506</v>
      </c>
      <c r="C54" s="19">
        <v>45506</v>
      </c>
      <c r="D54" s="52" t="s">
        <v>605</v>
      </c>
      <c r="E54" s="16" t="s">
        <v>623</v>
      </c>
      <c r="F54" s="22">
        <v>41011</v>
      </c>
      <c r="G54" s="40" t="s">
        <v>186</v>
      </c>
      <c r="H54" s="180" t="s">
        <v>253</v>
      </c>
      <c r="I54" s="195"/>
      <c r="J54" s="195"/>
      <c r="K54" s="195"/>
      <c r="L54" s="148"/>
      <c r="M54" s="148"/>
      <c r="N54" s="148"/>
      <c r="O54" s="181">
        <v>1</v>
      </c>
      <c r="P54" s="181">
        <v>1</v>
      </c>
      <c r="Q54" s="182"/>
      <c r="R54" s="182"/>
      <c r="S54" s="148"/>
      <c r="T54" s="148"/>
      <c r="U54" s="148"/>
      <c r="V54" s="148"/>
      <c r="W54" s="186">
        <v>5</v>
      </c>
      <c r="X54" s="186"/>
      <c r="Y54" s="148" t="s">
        <v>328</v>
      </c>
      <c r="Z54" s="197">
        <v>0.1</v>
      </c>
      <c r="AA54" s="198"/>
      <c r="AB54" s="186"/>
      <c r="AC54" s="186" t="s">
        <v>361</v>
      </c>
      <c r="AD54" s="197">
        <v>1</v>
      </c>
      <c r="AE54" s="148" t="s">
        <v>36</v>
      </c>
      <c r="AF54" s="190" t="s">
        <v>156</v>
      </c>
      <c r="AG54" s="190"/>
    </row>
    <row r="55" spans="1:33" s="4" customFormat="1" x14ac:dyDescent="0.4">
      <c r="A55" s="48">
        <v>45450</v>
      </c>
      <c r="B55" s="49">
        <f t="shared" si="1"/>
        <v>45506</v>
      </c>
      <c r="C55" s="74">
        <v>45506</v>
      </c>
      <c r="D55" s="17" t="s">
        <v>585</v>
      </c>
      <c r="E55" s="16" t="s">
        <v>611</v>
      </c>
      <c r="F55" s="25">
        <v>46833</v>
      </c>
      <c r="G55" s="65" t="s">
        <v>78</v>
      </c>
      <c r="H55" s="180" t="s">
        <v>245</v>
      </c>
      <c r="I55" s="117"/>
      <c r="J55" s="117"/>
      <c r="K55" s="117"/>
      <c r="L55" s="148"/>
      <c r="M55" s="148"/>
      <c r="N55" s="148"/>
      <c r="O55" s="148"/>
      <c r="P55" s="148"/>
      <c r="Q55" s="148"/>
      <c r="R55" s="148"/>
      <c r="S55" s="199" t="s">
        <v>79</v>
      </c>
      <c r="T55" s="199" t="s">
        <v>79</v>
      </c>
      <c r="U55" s="148"/>
      <c r="V55" s="148"/>
      <c r="W55" s="186">
        <v>5</v>
      </c>
      <c r="X55" s="186"/>
      <c r="Y55" s="148" t="s">
        <v>475</v>
      </c>
      <c r="Z55" s="197">
        <v>0.12</v>
      </c>
      <c r="AA55" s="186"/>
      <c r="AB55" s="186"/>
      <c r="AC55" s="148" t="s">
        <v>357</v>
      </c>
      <c r="AD55" s="197">
        <v>1</v>
      </c>
      <c r="AE55" s="148" t="s">
        <v>363</v>
      </c>
      <c r="AF55" s="38" t="s">
        <v>81</v>
      </c>
      <c r="AG55" s="39"/>
    </row>
    <row r="56" spans="1:33" s="4" customFormat="1" x14ac:dyDescent="0.4">
      <c r="A56" s="102"/>
      <c r="B56" s="79">
        <f t="shared" si="1"/>
        <v>45509</v>
      </c>
      <c r="C56" s="71">
        <v>45509</v>
      </c>
      <c r="D56" s="104">
        <v>0</v>
      </c>
      <c r="E56" s="104"/>
      <c r="F56" s="106"/>
      <c r="G56" s="108"/>
      <c r="H56" s="168"/>
      <c r="I56" s="168"/>
      <c r="J56" s="168"/>
      <c r="K56" s="168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70"/>
      <c r="X56" s="169"/>
      <c r="Y56" s="169"/>
      <c r="Z56" s="171"/>
      <c r="AA56" s="169"/>
      <c r="AB56" s="169"/>
      <c r="AC56" s="169"/>
      <c r="AD56" s="169"/>
      <c r="AE56" s="169"/>
      <c r="AF56" s="111"/>
      <c r="AG56" s="111"/>
    </row>
    <row r="57" spans="1:33" s="6" customFormat="1" x14ac:dyDescent="0.4">
      <c r="A57" s="48">
        <v>45450</v>
      </c>
      <c r="B57" s="49">
        <f t="shared" si="1"/>
        <v>45509</v>
      </c>
      <c r="C57" s="19">
        <v>45509</v>
      </c>
      <c r="D57" s="52" t="s">
        <v>597</v>
      </c>
      <c r="E57" s="16" t="s">
        <v>586</v>
      </c>
      <c r="F57" s="36">
        <v>43052</v>
      </c>
      <c r="G57" s="37" t="s">
        <v>99</v>
      </c>
      <c r="H57" s="161" t="s">
        <v>101</v>
      </c>
      <c r="I57" s="41">
        <v>3</v>
      </c>
      <c r="J57" s="41">
        <v>3</v>
      </c>
      <c r="K57" s="41">
        <v>3</v>
      </c>
      <c r="L57" s="15"/>
      <c r="M57" s="15"/>
      <c r="N57" s="15"/>
      <c r="O57" s="172">
        <v>3</v>
      </c>
      <c r="P57" s="172">
        <v>3</v>
      </c>
      <c r="Q57" s="173">
        <v>3</v>
      </c>
      <c r="R57" s="173">
        <v>3</v>
      </c>
      <c r="S57" s="15"/>
      <c r="T57" s="15"/>
      <c r="U57" s="15"/>
      <c r="V57" s="15"/>
      <c r="W57" s="126">
        <v>5</v>
      </c>
      <c r="X57" s="126"/>
      <c r="Y57" s="69" t="s">
        <v>475</v>
      </c>
      <c r="Z57" s="165">
        <v>0.05</v>
      </c>
      <c r="AA57" s="69" t="s">
        <v>310</v>
      </c>
      <c r="AB57" s="165">
        <v>0.2</v>
      </c>
      <c r="AC57" s="166" t="s">
        <v>358</v>
      </c>
      <c r="AD57" s="165">
        <v>0.8</v>
      </c>
      <c r="AE57" s="69" t="s">
        <v>36</v>
      </c>
      <c r="AF57" s="38" t="s">
        <v>81</v>
      </c>
      <c r="AG57" s="38"/>
    </row>
    <row r="58" spans="1:33" s="7" customFormat="1" ht="64.8" x14ac:dyDescent="0.4">
      <c r="A58" s="48">
        <v>45450</v>
      </c>
      <c r="B58" s="49">
        <f t="shared" si="1"/>
        <v>45509</v>
      </c>
      <c r="C58" s="19">
        <v>45509</v>
      </c>
      <c r="D58" s="15" t="s">
        <v>608</v>
      </c>
      <c r="E58" s="16" t="s">
        <v>626</v>
      </c>
      <c r="F58" s="20">
        <v>41311</v>
      </c>
      <c r="G58" s="37" t="s">
        <v>201</v>
      </c>
      <c r="H58" s="161" t="s">
        <v>457</v>
      </c>
      <c r="I58" s="42"/>
      <c r="J58" s="42"/>
      <c r="K58" s="42"/>
      <c r="L58" s="144"/>
      <c r="M58" s="144"/>
      <c r="N58" s="152">
        <v>1</v>
      </c>
      <c r="O58" s="15"/>
      <c r="P58" s="15"/>
      <c r="Q58" s="144"/>
      <c r="R58" s="144"/>
      <c r="S58" s="144"/>
      <c r="T58" s="144"/>
      <c r="U58" s="144"/>
      <c r="V58" s="144"/>
      <c r="W58" s="126">
        <v>5</v>
      </c>
      <c r="X58" s="126"/>
      <c r="Y58" s="153"/>
      <c r="Z58" s="174"/>
      <c r="AA58" s="188"/>
      <c r="AB58" s="174"/>
      <c r="AC58" s="153" t="s">
        <v>357</v>
      </c>
      <c r="AD58" s="174">
        <v>1</v>
      </c>
      <c r="AE58" s="15" t="s">
        <v>50</v>
      </c>
      <c r="AF58" s="83" t="s">
        <v>458</v>
      </c>
      <c r="AG58" s="39"/>
    </row>
    <row r="59" spans="1:33" s="7" customFormat="1" ht="52.2" customHeight="1" x14ac:dyDescent="0.4">
      <c r="A59" s="48">
        <v>45450</v>
      </c>
      <c r="B59" s="49">
        <f t="shared" si="1"/>
        <v>45509</v>
      </c>
      <c r="C59" s="19">
        <v>45509</v>
      </c>
      <c r="D59" s="16" t="s">
        <v>607</v>
      </c>
      <c r="E59" s="16" t="s">
        <v>599</v>
      </c>
      <c r="F59" s="20">
        <v>43052</v>
      </c>
      <c r="G59" s="32" t="s">
        <v>99</v>
      </c>
      <c r="H59" s="161" t="s">
        <v>81</v>
      </c>
      <c r="I59" s="42"/>
      <c r="J59" s="42"/>
      <c r="K59" s="42"/>
      <c r="L59" s="162">
        <v>3</v>
      </c>
      <c r="M59" s="162">
        <v>3</v>
      </c>
      <c r="N59" s="15"/>
      <c r="O59" s="15"/>
      <c r="P59" s="15"/>
      <c r="Q59" s="15"/>
      <c r="R59" s="15"/>
      <c r="S59" s="15"/>
      <c r="T59" s="15"/>
      <c r="U59" s="15"/>
      <c r="V59" s="15"/>
      <c r="W59" s="126">
        <v>5</v>
      </c>
      <c r="X59" s="126"/>
      <c r="Y59" s="15" t="s">
        <v>475</v>
      </c>
      <c r="Z59" s="157">
        <v>0.15</v>
      </c>
      <c r="AA59" s="126"/>
      <c r="AB59" s="309"/>
      <c r="AC59" s="15" t="s">
        <v>361</v>
      </c>
      <c r="AD59" s="157">
        <v>1</v>
      </c>
      <c r="AE59" s="15" t="s">
        <v>36</v>
      </c>
      <c r="AF59" s="38" t="s">
        <v>101</v>
      </c>
      <c r="AG59" s="38"/>
    </row>
    <row r="60" spans="1:33" ht="68.400000000000006" customHeight="1" x14ac:dyDescent="0.4">
      <c r="A60" s="48">
        <v>45450</v>
      </c>
      <c r="B60" s="49">
        <f t="shared" si="1"/>
        <v>45509</v>
      </c>
      <c r="C60" s="19">
        <v>45509</v>
      </c>
      <c r="D60" s="16" t="s">
        <v>595</v>
      </c>
      <c r="E60" s="16" t="s">
        <v>609</v>
      </c>
      <c r="F60" s="20">
        <v>46809</v>
      </c>
      <c r="G60" s="32" t="s">
        <v>285</v>
      </c>
      <c r="H60" s="161" t="s">
        <v>185</v>
      </c>
      <c r="I60" s="41" t="s">
        <v>41</v>
      </c>
      <c r="J60" s="41" t="s">
        <v>41</v>
      </c>
      <c r="K60" s="41" t="s">
        <v>450</v>
      </c>
      <c r="L60" s="162" t="s">
        <v>41</v>
      </c>
      <c r="M60" s="162" t="s">
        <v>41</v>
      </c>
      <c r="N60" s="15"/>
      <c r="O60" s="172" t="s">
        <v>436</v>
      </c>
      <c r="P60" s="172" t="s">
        <v>41</v>
      </c>
      <c r="Q60" s="173" t="s">
        <v>41</v>
      </c>
      <c r="R60" s="173" t="s">
        <v>41</v>
      </c>
      <c r="S60" s="15"/>
      <c r="T60" s="15"/>
      <c r="U60" s="15"/>
      <c r="V60" s="15"/>
      <c r="W60" s="126">
        <v>5</v>
      </c>
      <c r="X60" s="126"/>
      <c r="Y60" s="15"/>
      <c r="Z60" s="157"/>
      <c r="AA60" s="126"/>
      <c r="AB60" s="309"/>
      <c r="AC60" s="15" t="s">
        <v>361</v>
      </c>
      <c r="AD60" s="157">
        <v>1</v>
      </c>
      <c r="AE60" s="15" t="s">
        <v>39</v>
      </c>
      <c r="AF60" s="38" t="s">
        <v>40</v>
      </c>
      <c r="AG60" s="38"/>
    </row>
    <row r="61" spans="1:33" ht="32.4" x14ac:dyDescent="0.4">
      <c r="A61" s="48">
        <v>45450</v>
      </c>
      <c r="B61" s="49">
        <f t="shared" si="1"/>
        <v>45509</v>
      </c>
      <c r="C61" s="91">
        <v>45509</v>
      </c>
      <c r="D61" s="16" t="s">
        <v>601</v>
      </c>
      <c r="E61" s="16" t="s">
        <v>598</v>
      </c>
      <c r="F61" s="36">
        <v>46906</v>
      </c>
      <c r="G61" s="32" t="s">
        <v>191</v>
      </c>
      <c r="H61" s="16" t="s">
        <v>192</v>
      </c>
      <c r="I61" s="148"/>
      <c r="J61" s="148"/>
      <c r="K61" s="148"/>
      <c r="L61" s="15"/>
      <c r="M61" s="15"/>
      <c r="N61" s="152" t="s">
        <v>41</v>
      </c>
      <c r="O61" s="15"/>
      <c r="P61" s="15"/>
      <c r="Q61" s="15"/>
      <c r="R61" s="15"/>
      <c r="S61" s="15"/>
      <c r="T61" s="15"/>
      <c r="U61" s="15"/>
      <c r="V61" s="15"/>
      <c r="W61" s="309">
        <v>5</v>
      </c>
      <c r="X61" s="309"/>
      <c r="Y61" s="15"/>
      <c r="Z61" s="157"/>
      <c r="AA61" s="309"/>
      <c r="AB61" s="309"/>
      <c r="AC61" s="15" t="s">
        <v>361</v>
      </c>
      <c r="AD61" s="157">
        <v>1</v>
      </c>
      <c r="AE61" s="15" t="s">
        <v>36</v>
      </c>
      <c r="AF61" s="38" t="s">
        <v>302</v>
      </c>
      <c r="AG61" s="101" t="s">
        <v>627</v>
      </c>
    </row>
    <row r="62" spans="1:33" x14ac:dyDescent="0.4">
      <c r="A62" s="78"/>
      <c r="B62" s="79">
        <f t="shared" si="1"/>
        <v>45510</v>
      </c>
      <c r="C62" s="72">
        <v>45510</v>
      </c>
      <c r="D62" s="80">
        <v>0</v>
      </c>
      <c r="E62" s="80"/>
      <c r="F62" s="107"/>
      <c r="G62" s="109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78"/>
      <c r="X62" s="178"/>
      <c r="Y62" s="110"/>
      <c r="Z62" s="179"/>
      <c r="AA62" s="178"/>
      <c r="AB62" s="178"/>
      <c r="AC62" s="110"/>
      <c r="AD62" s="178"/>
      <c r="AE62" s="110"/>
      <c r="AF62" s="112"/>
      <c r="AG62" s="112"/>
    </row>
    <row r="63" spans="1:33" ht="81" x14ac:dyDescent="0.4">
      <c r="A63" s="48">
        <v>45450</v>
      </c>
      <c r="B63" s="49">
        <f t="shared" si="1"/>
        <v>45510</v>
      </c>
      <c r="C63" s="19">
        <v>45510</v>
      </c>
      <c r="D63" s="16" t="s">
        <v>583</v>
      </c>
      <c r="E63" s="16" t="s">
        <v>637</v>
      </c>
      <c r="F63" s="23">
        <v>42064</v>
      </c>
      <c r="G63" s="29" t="s">
        <v>55</v>
      </c>
      <c r="H63" s="161" t="s">
        <v>54</v>
      </c>
      <c r="I63" s="305"/>
      <c r="J63" s="305"/>
      <c r="K63" s="305"/>
      <c r="L63" s="15"/>
      <c r="M63" s="15"/>
      <c r="N63" s="152">
        <v>2</v>
      </c>
      <c r="O63" s="15"/>
      <c r="P63" s="15"/>
      <c r="Q63" s="15"/>
      <c r="R63" s="15"/>
      <c r="S63" s="15"/>
      <c r="T63" s="15"/>
      <c r="U63" s="15"/>
      <c r="V63" s="15"/>
      <c r="W63" s="126">
        <v>5</v>
      </c>
      <c r="X63" s="126"/>
      <c r="Y63" s="15"/>
      <c r="Z63" s="157"/>
      <c r="AA63" s="126"/>
      <c r="AB63" s="126"/>
      <c r="AC63" s="15" t="s">
        <v>361</v>
      </c>
      <c r="AD63" s="157">
        <v>1</v>
      </c>
      <c r="AE63" s="15" t="s">
        <v>344</v>
      </c>
      <c r="AF63" s="38" t="s">
        <v>56</v>
      </c>
      <c r="AG63" s="38"/>
    </row>
    <row r="64" spans="1:33" s="4" customFormat="1" ht="81" x14ac:dyDescent="0.4">
      <c r="A64" s="48">
        <v>45450</v>
      </c>
      <c r="B64" s="49">
        <f t="shared" si="1"/>
        <v>45510</v>
      </c>
      <c r="C64" s="19">
        <v>45510</v>
      </c>
      <c r="D64" s="16" t="s">
        <v>583</v>
      </c>
      <c r="E64" s="16" t="s">
        <v>623</v>
      </c>
      <c r="F64" s="20">
        <v>41064</v>
      </c>
      <c r="G64" s="32" t="s">
        <v>51</v>
      </c>
      <c r="H64" s="161" t="s">
        <v>54</v>
      </c>
      <c r="I64" s="41">
        <v>1</v>
      </c>
      <c r="J64" s="41">
        <v>1</v>
      </c>
      <c r="K64" s="41">
        <v>1</v>
      </c>
      <c r="L64" s="15"/>
      <c r="M64" s="149"/>
      <c r="N64" s="15"/>
      <c r="O64" s="15"/>
      <c r="P64" s="15"/>
      <c r="Q64" s="15"/>
      <c r="R64" s="15"/>
      <c r="S64" s="15"/>
      <c r="T64" s="15"/>
      <c r="U64" s="15"/>
      <c r="V64" s="15"/>
      <c r="W64" s="126">
        <v>5</v>
      </c>
      <c r="X64" s="126"/>
      <c r="Y64" s="15"/>
      <c r="Z64" s="157"/>
      <c r="AA64" s="126"/>
      <c r="AB64" s="126"/>
      <c r="AC64" s="15" t="s">
        <v>361</v>
      </c>
      <c r="AD64" s="157">
        <v>1</v>
      </c>
      <c r="AE64" s="15" t="s">
        <v>344</v>
      </c>
      <c r="AF64" s="38" t="s">
        <v>45</v>
      </c>
      <c r="AG64" s="38"/>
    </row>
    <row r="65" spans="1:33" ht="81" x14ac:dyDescent="0.4">
      <c r="A65" s="48">
        <v>45450</v>
      </c>
      <c r="B65" s="49">
        <f t="shared" si="1"/>
        <v>45510</v>
      </c>
      <c r="C65" s="19">
        <v>45510</v>
      </c>
      <c r="D65" s="16" t="s">
        <v>583</v>
      </c>
      <c r="E65" s="16" t="s">
        <v>623</v>
      </c>
      <c r="F65" s="36">
        <v>41064</v>
      </c>
      <c r="G65" s="32" t="s">
        <v>454</v>
      </c>
      <c r="H65" s="161" t="s">
        <v>54</v>
      </c>
      <c r="I65" s="42"/>
      <c r="J65" s="42"/>
      <c r="K65" s="42"/>
      <c r="L65" s="162">
        <v>1</v>
      </c>
      <c r="M65" s="162">
        <v>1</v>
      </c>
      <c r="N65" s="15"/>
      <c r="O65" s="15"/>
      <c r="P65" s="15"/>
      <c r="Q65" s="15"/>
      <c r="R65" s="15"/>
      <c r="S65" s="15"/>
      <c r="T65" s="15"/>
      <c r="U65" s="15"/>
      <c r="V65" s="15"/>
      <c r="W65" s="126">
        <v>5</v>
      </c>
      <c r="X65" s="126"/>
      <c r="Y65" s="15"/>
      <c r="Z65" s="157"/>
      <c r="AA65" s="309"/>
      <c r="AB65" s="309"/>
      <c r="AC65" s="15" t="s">
        <v>361</v>
      </c>
      <c r="AD65" s="157">
        <v>1</v>
      </c>
      <c r="AE65" s="15" t="s">
        <v>344</v>
      </c>
      <c r="AF65" s="38" t="s">
        <v>45</v>
      </c>
      <c r="AG65" s="38"/>
    </row>
    <row r="66" spans="1:33" x14ac:dyDescent="0.4">
      <c r="A66" s="48">
        <v>45450</v>
      </c>
      <c r="B66" s="49">
        <f t="shared" si="1"/>
        <v>45510</v>
      </c>
      <c r="C66" s="19">
        <v>45510</v>
      </c>
      <c r="D66" s="16" t="s">
        <v>607</v>
      </c>
      <c r="E66" s="16" t="s">
        <v>598</v>
      </c>
      <c r="F66" s="36">
        <v>41065</v>
      </c>
      <c r="G66" s="32" t="s">
        <v>51</v>
      </c>
      <c r="H66" s="161" t="s">
        <v>56</v>
      </c>
      <c r="I66" s="42"/>
      <c r="J66" s="305"/>
      <c r="K66" s="305"/>
      <c r="L66" s="15"/>
      <c r="M66" s="15"/>
      <c r="N66" s="15"/>
      <c r="O66" s="181">
        <v>1</v>
      </c>
      <c r="P66" s="181">
        <v>1</v>
      </c>
      <c r="Q66" s="15"/>
      <c r="R66" s="15"/>
      <c r="S66" s="15"/>
      <c r="T66" s="15"/>
      <c r="U66" s="15"/>
      <c r="V66" s="15"/>
      <c r="W66" s="126">
        <v>5</v>
      </c>
      <c r="X66" s="126"/>
      <c r="Y66" s="15"/>
      <c r="Z66" s="157"/>
      <c r="AA66" s="126"/>
      <c r="AB66" s="126"/>
      <c r="AC66" s="15" t="s">
        <v>361</v>
      </c>
      <c r="AD66" s="157">
        <v>1</v>
      </c>
      <c r="AE66" s="15" t="s">
        <v>157</v>
      </c>
      <c r="AF66" s="38" t="s">
        <v>40</v>
      </c>
      <c r="AG66" s="113"/>
    </row>
    <row r="67" spans="1:33" s="13" customFormat="1" x14ac:dyDescent="0.3">
      <c r="A67" s="48">
        <v>45450</v>
      </c>
      <c r="B67" s="49">
        <f t="shared" si="1"/>
        <v>45510</v>
      </c>
      <c r="C67" s="19">
        <v>45510</v>
      </c>
      <c r="D67" s="16" t="s">
        <v>607</v>
      </c>
      <c r="E67" s="16" t="s">
        <v>598</v>
      </c>
      <c r="F67" s="36">
        <v>47725</v>
      </c>
      <c r="G67" s="37" t="s">
        <v>213</v>
      </c>
      <c r="H67" s="161" t="s">
        <v>56</v>
      </c>
      <c r="I67" s="305"/>
      <c r="J67" s="42"/>
      <c r="K67" s="305"/>
      <c r="L67" s="15"/>
      <c r="M67" s="15"/>
      <c r="N67" s="15"/>
      <c r="O67" s="15"/>
      <c r="P67" s="15"/>
      <c r="Q67" s="15"/>
      <c r="R67" s="15"/>
      <c r="S67" s="163" t="s">
        <v>116</v>
      </c>
      <c r="T67" s="163" t="s">
        <v>116</v>
      </c>
      <c r="U67" s="164" t="s">
        <v>116</v>
      </c>
      <c r="V67" s="15"/>
      <c r="W67" s="126">
        <v>5</v>
      </c>
      <c r="X67" s="126"/>
      <c r="Y67" s="15"/>
      <c r="Z67" s="157"/>
      <c r="AA67" s="309"/>
      <c r="AB67" s="309"/>
      <c r="AC67" s="15" t="s">
        <v>361</v>
      </c>
      <c r="AD67" s="157">
        <v>1</v>
      </c>
      <c r="AE67" s="69" t="s">
        <v>157</v>
      </c>
      <c r="AF67" s="38" t="s">
        <v>40</v>
      </c>
      <c r="AG67" s="38"/>
    </row>
    <row r="68" spans="1:33" ht="32.4" x14ac:dyDescent="0.4">
      <c r="A68" s="48">
        <v>45450</v>
      </c>
      <c r="B68" s="49">
        <f t="shared" si="1"/>
        <v>45510</v>
      </c>
      <c r="C68" s="19">
        <v>45510</v>
      </c>
      <c r="D68" s="16" t="s">
        <v>610</v>
      </c>
      <c r="E68" s="16" t="s">
        <v>599</v>
      </c>
      <c r="F68" s="36">
        <v>44452</v>
      </c>
      <c r="G68" s="37" t="s">
        <v>38</v>
      </c>
      <c r="H68" s="180" t="s">
        <v>387</v>
      </c>
      <c r="I68" s="305"/>
      <c r="J68" s="305"/>
      <c r="K68" s="305"/>
      <c r="L68" s="162">
        <v>5</v>
      </c>
      <c r="M68" s="162">
        <v>7</v>
      </c>
      <c r="N68" s="15"/>
      <c r="O68" s="15"/>
      <c r="P68" s="15"/>
      <c r="Q68" s="15"/>
      <c r="R68" s="15"/>
      <c r="S68" s="15"/>
      <c r="T68" s="15"/>
      <c r="U68" s="15"/>
      <c r="V68" s="15"/>
      <c r="W68" s="126">
        <v>5</v>
      </c>
      <c r="X68" s="126"/>
      <c r="Y68" s="153"/>
      <c r="Z68" s="174"/>
      <c r="AA68" s="167" t="s">
        <v>530</v>
      </c>
      <c r="AB68" s="174">
        <v>0.2</v>
      </c>
      <c r="AC68" s="153" t="s">
        <v>358</v>
      </c>
      <c r="AD68" s="174">
        <v>0.8</v>
      </c>
      <c r="AE68" s="15" t="s">
        <v>477</v>
      </c>
      <c r="AF68" s="38" t="s">
        <v>40</v>
      </c>
      <c r="AG68" s="114"/>
    </row>
    <row r="69" spans="1:33" ht="32.4" x14ac:dyDescent="0.4">
      <c r="A69" s="48">
        <v>45450</v>
      </c>
      <c r="B69" s="49">
        <f t="shared" si="1"/>
        <v>45510</v>
      </c>
      <c r="C69" s="19">
        <v>45510</v>
      </c>
      <c r="D69" s="16" t="s">
        <v>585</v>
      </c>
      <c r="E69" s="16" t="s">
        <v>598</v>
      </c>
      <c r="F69" s="36">
        <v>46814</v>
      </c>
      <c r="G69" s="37" t="s">
        <v>110</v>
      </c>
      <c r="H69" s="161" t="s">
        <v>40</v>
      </c>
      <c r="I69" s="41" t="s">
        <v>41</v>
      </c>
      <c r="J69" s="41" t="s">
        <v>42</v>
      </c>
      <c r="K69" s="41" t="s">
        <v>450</v>
      </c>
      <c r="L69" s="15"/>
      <c r="M69" s="15"/>
      <c r="N69" s="15"/>
      <c r="O69" s="172" t="s">
        <v>436</v>
      </c>
      <c r="P69" s="172" t="s">
        <v>41</v>
      </c>
      <c r="Q69" s="173" t="s">
        <v>41</v>
      </c>
      <c r="R69" s="173" t="s">
        <v>41</v>
      </c>
      <c r="S69" s="15"/>
      <c r="T69" s="15"/>
      <c r="U69" s="15"/>
      <c r="V69" s="15"/>
      <c r="W69" s="126">
        <v>5</v>
      </c>
      <c r="X69" s="126"/>
      <c r="Y69" s="153" t="s">
        <v>362</v>
      </c>
      <c r="Z69" s="174">
        <v>0.1</v>
      </c>
      <c r="AA69" s="167"/>
      <c r="AB69" s="167"/>
      <c r="AC69" s="167" t="s">
        <v>357</v>
      </c>
      <c r="AD69" s="174">
        <v>1</v>
      </c>
      <c r="AE69" s="15" t="s">
        <v>39</v>
      </c>
      <c r="AF69" s="38" t="s">
        <v>138</v>
      </c>
      <c r="AG69" s="38"/>
    </row>
    <row r="70" spans="1:33" x14ac:dyDescent="0.4">
      <c r="A70" s="78"/>
      <c r="B70" s="79">
        <f t="shared" si="1"/>
        <v>45511</v>
      </c>
      <c r="C70" s="72">
        <v>45511</v>
      </c>
      <c r="D70" s="80">
        <v>0</v>
      </c>
      <c r="E70" s="80"/>
      <c r="F70" s="107"/>
      <c r="G70" s="109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78"/>
      <c r="X70" s="178"/>
      <c r="Y70" s="110"/>
      <c r="Z70" s="179"/>
      <c r="AA70" s="178"/>
      <c r="AB70" s="178"/>
      <c r="AC70" s="110"/>
      <c r="AD70" s="178"/>
      <c r="AE70" s="110"/>
      <c r="AF70" s="112"/>
      <c r="AG70" s="112"/>
    </row>
    <row r="71" spans="1:33" s="4" customFormat="1" ht="32.4" x14ac:dyDescent="0.4">
      <c r="A71" s="48">
        <v>45450</v>
      </c>
      <c r="B71" s="49">
        <f t="shared" si="1"/>
        <v>45511</v>
      </c>
      <c r="C71" s="19">
        <v>45511</v>
      </c>
      <c r="D71" s="16" t="s">
        <v>583</v>
      </c>
      <c r="E71" s="16" t="s">
        <v>611</v>
      </c>
      <c r="F71" s="20">
        <v>43212</v>
      </c>
      <c r="G71" s="32" t="s">
        <v>265</v>
      </c>
      <c r="H71" s="161" t="s">
        <v>101</v>
      </c>
      <c r="I71" s="15"/>
      <c r="J71" s="41">
        <v>3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26">
        <v>5</v>
      </c>
      <c r="X71" s="126"/>
      <c r="Y71" s="69" t="s">
        <v>576</v>
      </c>
      <c r="Z71" s="165">
        <v>0.15</v>
      </c>
      <c r="AA71" s="166"/>
      <c r="AB71" s="166"/>
      <c r="AC71" s="69" t="s">
        <v>361</v>
      </c>
      <c r="AD71" s="165">
        <v>1</v>
      </c>
      <c r="AE71" s="69" t="s">
        <v>374</v>
      </c>
      <c r="AF71" s="39" t="s">
        <v>490</v>
      </c>
      <c r="AG71" s="39"/>
    </row>
    <row r="72" spans="1:33" x14ac:dyDescent="0.4">
      <c r="A72" s="48">
        <v>45450</v>
      </c>
      <c r="B72" s="49">
        <f t="shared" si="1"/>
        <v>45511</v>
      </c>
      <c r="C72" s="19">
        <v>45511</v>
      </c>
      <c r="D72" s="16" t="s">
        <v>607</v>
      </c>
      <c r="E72" s="16" t="s">
        <v>599</v>
      </c>
      <c r="F72" s="36">
        <v>43451</v>
      </c>
      <c r="G72" s="32" t="s">
        <v>198</v>
      </c>
      <c r="H72" s="161" t="s">
        <v>109</v>
      </c>
      <c r="I72" s="41" t="s">
        <v>41</v>
      </c>
      <c r="J72" s="305"/>
      <c r="K72" s="185" t="s">
        <v>41</v>
      </c>
      <c r="L72" s="162">
        <v>3</v>
      </c>
      <c r="M72" s="162">
        <v>3</v>
      </c>
      <c r="N72" s="15"/>
      <c r="O72" s="15"/>
      <c r="P72" s="15"/>
      <c r="Q72" s="15"/>
      <c r="R72" s="15"/>
      <c r="S72" s="15"/>
      <c r="T72" s="15"/>
      <c r="U72" s="15"/>
      <c r="V72" s="15"/>
      <c r="W72" s="126">
        <v>5</v>
      </c>
      <c r="X72" s="126"/>
      <c r="Y72" s="15"/>
      <c r="Z72" s="157"/>
      <c r="AA72" s="309"/>
      <c r="AB72" s="309"/>
      <c r="AC72" s="15" t="s">
        <v>361</v>
      </c>
      <c r="AD72" s="157">
        <v>1</v>
      </c>
      <c r="AE72" s="15" t="s">
        <v>119</v>
      </c>
      <c r="AF72" s="38" t="s">
        <v>40</v>
      </c>
      <c r="AG72" s="38"/>
    </row>
    <row r="73" spans="1:33" x14ac:dyDescent="0.4">
      <c r="A73" s="103"/>
      <c r="B73" s="79">
        <f t="shared" si="1"/>
        <v>45512</v>
      </c>
      <c r="C73" s="72">
        <v>45512</v>
      </c>
      <c r="D73" s="105">
        <v>0</v>
      </c>
      <c r="E73" s="105"/>
      <c r="F73" s="107"/>
      <c r="G73" s="109"/>
      <c r="H73" s="192"/>
      <c r="I73" s="192"/>
      <c r="J73" s="192"/>
      <c r="K73" s="192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78"/>
      <c r="X73" s="110"/>
      <c r="Y73" s="110"/>
      <c r="Z73" s="193"/>
      <c r="AA73" s="110"/>
      <c r="AB73" s="110"/>
      <c r="AC73" s="110"/>
      <c r="AD73" s="110"/>
      <c r="AE73" s="110"/>
      <c r="AF73" s="115"/>
      <c r="AG73" s="115"/>
    </row>
    <row r="74" spans="1:33" s="4" customFormat="1" x14ac:dyDescent="0.4">
      <c r="A74" s="48">
        <v>45450</v>
      </c>
      <c r="B74" s="49">
        <f t="shared" ref="B74:B105" si="2">IF(C74="","",C74)</f>
        <v>45512</v>
      </c>
      <c r="C74" s="19">
        <v>45512</v>
      </c>
      <c r="D74" s="16" t="s">
        <v>583</v>
      </c>
      <c r="E74" s="16" t="s">
        <v>599</v>
      </c>
      <c r="F74" s="20">
        <v>42412</v>
      </c>
      <c r="G74" s="32" t="s">
        <v>127</v>
      </c>
      <c r="H74" s="161" t="s">
        <v>67</v>
      </c>
      <c r="I74" s="305"/>
      <c r="J74" s="305"/>
      <c r="K74" s="305"/>
      <c r="L74" s="162">
        <v>1</v>
      </c>
      <c r="M74" s="162">
        <v>1</v>
      </c>
      <c r="N74" s="15"/>
      <c r="O74" s="15"/>
      <c r="P74" s="15"/>
      <c r="Q74" s="15"/>
      <c r="R74" s="15"/>
      <c r="S74" s="15"/>
      <c r="T74" s="15"/>
      <c r="U74" s="15"/>
      <c r="V74" s="15"/>
      <c r="W74" s="126">
        <v>5</v>
      </c>
      <c r="X74" s="126"/>
      <c r="Y74" s="15"/>
      <c r="Z74" s="157"/>
      <c r="AA74" s="126" t="s">
        <v>300</v>
      </c>
      <c r="AB74" s="126"/>
      <c r="AC74" s="15" t="s">
        <v>361</v>
      </c>
      <c r="AD74" s="157">
        <v>1</v>
      </c>
      <c r="AE74" s="15" t="s">
        <v>36</v>
      </c>
      <c r="AF74" s="39" t="s">
        <v>128</v>
      </c>
      <c r="AG74" s="39"/>
    </row>
    <row r="75" spans="1:33" x14ac:dyDescent="0.4">
      <c r="A75" s="48">
        <v>45450</v>
      </c>
      <c r="B75" s="49">
        <f t="shared" si="2"/>
        <v>45512</v>
      </c>
      <c r="C75" s="19">
        <v>45512</v>
      </c>
      <c r="D75" s="52" t="s">
        <v>605</v>
      </c>
      <c r="E75" s="16" t="s">
        <v>586</v>
      </c>
      <c r="F75" s="20">
        <v>41031</v>
      </c>
      <c r="G75" s="32" t="s">
        <v>179</v>
      </c>
      <c r="H75" s="161" t="s">
        <v>301</v>
      </c>
      <c r="I75" s="41">
        <v>1</v>
      </c>
      <c r="J75" s="41">
        <v>1</v>
      </c>
      <c r="K75" s="41">
        <v>1</v>
      </c>
      <c r="L75" s="15"/>
      <c r="M75" s="15"/>
      <c r="N75" s="15"/>
      <c r="O75" s="181">
        <v>1</v>
      </c>
      <c r="P75" s="181">
        <v>1</v>
      </c>
      <c r="Q75" s="15"/>
      <c r="R75" s="182"/>
      <c r="S75" s="15"/>
      <c r="T75" s="15"/>
      <c r="U75" s="15"/>
      <c r="V75" s="15"/>
      <c r="W75" s="126">
        <v>5</v>
      </c>
      <c r="X75" s="126"/>
      <c r="Y75" s="153" t="s">
        <v>474</v>
      </c>
      <c r="Z75" s="174">
        <v>0.1</v>
      </c>
      <c r="AA75" s="167"/>
      <c r="AB75" s="167"/>
      <c r="AC75" s="153" t="s">
        <v>361</v>
      </c>
      <c r="AD75" s="174">
        <v>1</v>
      </c>
      <c r="AE75" s="15" t="s">
        <v>50</v>
      </c>
      <c r="AF75" s="38" t="s">
        <v>43</v>
      </c>
      <c r="AG75" s="38"/>
    </row>
    <row r="76" spans="1:33" ht="32.4" x14ac:dyDescent="0.4">
      <c r="A76" s="48">
        <v>45450</v>
      </c>
      <c r="B76" s="49">
        <f t="shared" si="2"/>
        <v>45512</v>
      </c>
      <c r="C76" s="19">
        <v>45512</v>
      </c>
      <c r="D76" s="16" t="s">
        <v>594</v>
      </c>
      <c r="E76" s="16" t="s">
        <v>611</v>
      </c>
      <c r="F76" s="20">
        <v>45261</v>
      </c>
      <c r="G76" s="32" t="s">
        <v>486</v>
      </c>
      <c r="H76" s="16" t="s">
        <v>455</v>
      </c>
      <c r="I76" s="15"/>
      <c r="J76" s="15"/>
      <c r="K76" s="15"/>
      <c r="L76" s="15"/>
      <c r="M76" s="15"/>
      <c r="N76" s="15"/>
      <c r="O76" s="172">
        <v>3</v>
      </c>
      <c r="P76" s="172" t="s">
        <v>431</v>
      </c>
      <c r="Q76" s="15"/>
      <c r="R76" s="15"/>
      <c r="S76" s="15"/>
      <c r="T76" s="15"/>
      <c r="U76" s="15"/>
      <c r="V76" s="15"/>
      <c r="W76" s="126">
        <v>5</v>
      </c>
      <c r="X76" s="126"/>
      <c r="Y76" s="15" t="s">
        <v>478</v>
      </c>
      <c r="Z76" s="157">
        <v>0.15</v>
      </c>
      <c r="AA76" s="126"/>
      <c r="AB76" s="309"/>
      <c r="AC76" s="15" t="s">
        <v>358</v>
      </c>
      <c r="AD76" s="157">
        <v>1</v>
      </c>
      <c r="AE76" s="15" t="s">
        <v>36</v>
      </c>
      <c r="AF76" s="38" t="s">
        <v>93</v>
      </c>
      <c r="AG76" s="38"/>
    </row>
    <row r="77" spans="1:33" ht="32.4" x14ac:dyDescent="0.4">
      <c r="A77" s="48">
        <v>45450</v>
      </c>
      <c r="B77" s="49">
        <f t="shared" si="2"/>
        <v>45512</v>
      </c>
      <c r="C77" s="19">
        <v>45512</v>
      </c>
      <c r="D77" s="16" t="s">
        <v>594</v>
      </c>
      <c r="E77" s="16" t="s">
        <v>611</v>
      </c>
      <c r="F77" s="20">
        <v>45261</v>
      </c>
      <c r="G77" s="32" t="s">
        <v>397</v>
      </c>
      <c r="H77" s="16" t="s">
        <v>455</v>
      </c>
      <c r="I77" s="41" t="s">
        <v>41</v>
      </c>
      <c r="J77" s="41" t="s">
        <v>41</v>
      </c>
      <c r="K77" s="41" t="s">
        <v>41</v>
      </c>
      <c r="L77" s="162" t="s">
        <v>41</v>
      </c>
      <c r="M77" s="162" t="s">
        <v>41</v>
      </c>
      <c r="N77" s="152" t="s">
        <v>41</v>
      </c>
      <c r="O77" s="15"/>
      <c r="P77" s="15"/>
      <c r="Q77" s="173">
        <v>5</v>
      </c>
      <c r="R77" s="173" t="s">
        <v>41</v>
      </c>
      <c r="S77" s="15"/>
      <c r="T77" s="15"/>
      <c r="U77" s="15"/>
      <c r="V77" s="15"/>
      <c r="W77" s="126">
        <v>5</v>
      </c>
      <c r="X77" s="126"/>
      <c r="Y77" s="15" t="s">
        <v>478</v>
      </c>
      <c r="Z77" s="157">
        <v>0.15</v>
      </c>
      <c r="AA77" s="126"/>
      <c r="AB77" s="126"/>
      <c r="AC77" s="15" t="s">
        <v>358</v>
      </c>
      <c r="AD77" s="157">
        <v>1</v>
      </c>
      <c r="AE77" s="15" t="s">
        <v>36</v>
      </c>
      <c r="AF77" s="38" t="s">
        <v>93</v>
      </c>
      <c r="AG77" s="38"/>
    </row>
    <row r="78" spans="1:33" x14ac:dyDescent="0.4">
      <c r="A78" s="78"/>
      <c r="B78" s="79">
        <f t="shared" si="2"/>
        <v>45513</v>
      </c>
      <c r="C78" s="72">
        <v>45513</v>
      </c>
      <c r="D78" s="80">
        <v>0</v>
      </c>
      <c r="E78" s="80"/>
      <c r="F78" s="107"/>
      <c r="G78" s="109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78"/>
      <c r="X78" s="178"/>
      <c r="Y78" s="110"/>
      <c r="Z78" s="179"/>
      <c r="AA78" s="178"/>
      <c r="AB78" s="178"/>
      <c r="AC78" s="110"/>
      <c r="AD78" s="178"/>
      <c r="AE78" s="110"/>
      <c r="AF78" s="112"/>
      <c r="AG78" s="112"/>
    </row>
    <row r="79" spans="1:33" ht="32.4" x14ac:dyDescent="0.4">
      <c r="A79" s="48">
        <v>45450</v>
      </c>
      <c r="B79" s="49">
        <f t="shared" si="2"/>
        <v>45513</v>
      </c>
      <c r="C79" s="19">
        <v>45513</v>
      </c>
      <c r="D79" s="16" t="s">
        <v>583</v>
      </c>
      <c r="E79" s="16" t="s">
        <v>599</v>
      </c>
      <c r="F79" s="20">
        <v>45442</v>
      </c>
      <c r="G79" s="32" t="s">
        <v>129</v>
      </c>
      <c r="H79" s="161" t="s">
        <v>67</v>
      </c>
      <c r="I79" s="305"/>
      <c r="J79" s="305"/>
      <c r="K79" s="305"/>
      <c r="L79" s="162">
        <v>5</v>
      </c>
      <c r="M79" s="162">
        <v>5</v>
      </c>
      <c r="N79" s="15"/>
      <c r="O79" s="15"/>
      <c r="P79" s="15"/>
      <c r="Q79" s="15"/>
      <c r="R79" s="15"/>
      <c r="S79" s="15"/>
      <c r="T79" s="15"/>
      <c r="U79" s="15"/>
      <c r="V79" s="15"/>
      <c r="W79" s="126">
        <v>5</v>
      </c>
      <c r="X79" s="126"/>
      <c r="Y79" s="15" t="s">
        <v>313</v>
      </c>
      <c r="Z79" s="157">
        <v>0.158</v>
      </c>
      <c r="AA79" s="126"/>
      <c r="AB79" s="126"/>
      <c r="AC79" s="15" t="s">
        <v>361</v>
      </c>
      <c r="AD79" s="157">
        <v>1</v>
      </c>
      <c r="AE79" s="15" t="s">
        <v>36</v>
      </c>
      <c r="AF79" s="38" t="s">
        <v>81</v>
      </c>
      <c r="AG79" s="38"/>
    </row>
    <row r="80" spans="1:33" ht="32.4" x14ac:dyDescent="0.4">
      <c r="A80" s="48">
        <v>45450</v>
      </c>
      <c r="B80" s="49">
        <f t="shared" si="2"/>
        <v>45513</v>
      </c>
      <c r="C80" s="19">
        <v>45513</v>
      </c>
      <c r="D80" s="52" t="s">
        <v>605</v>
      </c>
      <c r="E80" s="16" t="s">
        <v>586</v>
      </c>
      <c r="F80" s="36">
        <v>41067</v>
      </c>
      <c r="G80" s="58" t="s">
        <v>305</v>
      </c>
      <c r="H80" s="161" t="s">
        <v>387</v>
      </c>
      <c r="I80" s="41">
        <v>3</v>
      </c>
      <c r="J80" s="41">
        <v>3</v>
      </c>
      <c r="K80" s="30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26">
        <v>5</v>
      </c>
      <c r="X80" s="309"/>
      <c r="Y80" s="15" t="s">
        <v>384</v>
      </c>
      <c r="Z80" s="157">
        <v>0.1</v>
      </c>
      <c r="AA80" s="309"/>
      <c r="AB80" s="309"/>
      <c r="AC80" s="15" t="s">
        <v>361</v>
      </c>
      <c r="AD80" s="157">
        <v>1</v>
      </c>
      <c r="AE80" s="15" t="s">
        <v>531</v>
      </c>
      <c r="AF80" s="38" t="s">
        <v>482</v>
      </c>
      <c r="AG80" s="114"/>
    </row>
    <row r="81" spans="1:33" x14ac:dyDescent="0.4">
      <c r="A81" s="102"/>
      <c r="B81" s="79">
        <f t="shared" si="2"/>
        <v>45516</v>
      </c>
      <c r="C81" s="71">
        <v>45516</v>
      </c>
      <c r="D81" s="104">
        <v>0</v>
      </c>
      <c r="E81" s="104"/>
      <c r="F81" s="106"/>
      <c r="G81" s="108"/>
      <c r="H81" s="168"/>
      <c r="I81" s="168"/>
      <c r="J81" s="168"/>
      <c r="K81" s="168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70"/>
      <c r="X81" s="169"/>
      <c r="Y81" s="169"/>
      <c r="Z81" s="171"/>
      <c r="AA81" s="169"/>
      <c r="AB81" s="169"/>
      <c r="AC81" s="169"/>
      <c r="AD81" s="169"/>
      <c r="AE81" s="169"/>
      <c r="AF81" s="111"/>
      <c r="AG81" s="111"/>
    </row>
    <row r="82" spans="1:33" ht="81" x14ac:dyDescent="0.4">
      <c r="A82" s="48">
        <v>45450</v>
      </c>
      <c r="B82" s="49">
        <f t="shared" si="2"/>
        <v>45516</v>
      </c>
      <c r="C82" s="19">
        <v>45516</v>
      </c>
      <c r="D82" s="52" t="s">
        <v>583</v>
      </c>
      <c r="E82" s="16" t="s">
        <v>623</v>
      </c>
      <c r="F82" s="33">
        <v>41061</v>
      </c>
      <c r="G82" s="57" t="s">
        <v>406</v>
      </c>
      <c r="H82" s="161" t="s">
        <v>387</v>
      </c>
      <c r="I82" s="41">
        <v>2</v>
      </c>
      <c r="J82" s="41">
        <v>2</v>
      </c>
      <c r="K82" s="41">
        <v>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26">
        <v>5</v>
      </c>
      <c r="X82" s="309"/>
      <c r="Y82" s="15" t="s">
        <v>504</v>
      </c>
      <c r="Z82" s="157">
        <v>0.1</v>
      </c>
      <c r="AA82" s="309"/>
      <c r="AB82" s="126"/>
      <c r="AC82" s="15" t="s">
        <v>361</v>
      </c>
      <c r="AD82" s="157">
        <v>1</v>
      </c>
      <c r="AE82" s="69" t="s">
        <v>322</v>
      </c>
      <c r="AF82" s="38" t="s">
        <v>54</v>
      </c>
      <c r="AG82" s="114"/>
    </row>
    <row r="83" spans="1:33" s="4" customFormat="1" ht="81" x14ac:dyDescent="0.4">
      <c r="A83" s="48">
        <v>45450</v>
      </c>
      <c r="B83" s="49">
        <f t="shared" si="2"/>
        <v>45516</v>
      </c>
      <c r="C83" s="19">
        <v>45516</v>
      </c>
      <c r="D83" s="52" t="s">
        <v>583</v>
      </c>
      <c r="E83" s="16" t="s">
        <v>623</v>
      </c>
      <c r="F83" s="23">
        <v>41063</v>
      </c>
      <c r="G83" s="29" t="s">
        <v>439</v>
      </c>
      <c r="H83" s="161" t="s">
        <v>54</v>
      </c>
      <c r="I83" s="305"/>
      <c r="J83" s="305"/>
      <c r="K83" s="305"/>
      <c r="L83" s="162">
        <v>2</v>
      </c>
      <c r="M83" s="162">
        <v>2</v>
      </c>
      <c r="N83" s="15"/>
      <c r="O83" s="15"/>
      <c r="P83" s="15"/>
      <c r="Q83" s="15"/>
      <c r="R83" s="15"/>
      <c r="S83" s="15"/>
      <c r="T83" s="15"/>
      <c r="U83" s="15"/>
      <c r="V83" s="15"/>
      <c r="W83" s="126">
        <v>5</v>
      </c>
      <c r="X83" s="126"/>
      <c r="Y83" s="15" t="s">
        <v>504</v>
      </c>
      <c r="Z83" s="157">
        <v>0.1</v>
      </c>
      <c r="AA83" s="309"/>
      <c r="AB83" s="309"/>
      <c r="AC83" s="15" t="s">
        <v>361</v>
      </c>
      <c r="AD83" s="157">
        <v>1</v>
      </c>
      <c r="AE83" s="69" t="s">
        <v>322</v>
      </c>
      <c r="AF83" s="38" t="s">
        <v>387</v>
      </c>
      <c r="AG83" s="39"/>
    </row>
    <row r="84" spans="1:33" ht="32.4" x14ac:dyDescent="0.4">
      <c r="A84" s="48">
        <v>45450</v>
      </c>
      <c r="B84" s="49">
        <f t="shared" si="2"/>
        <v>45516</v>
      </c>
      <c r="C84" s="75">
        <v>45516</v>
      </c>
      <c r="D84" s="16" t="s">
        <v>606</v>
      </c>
      <c r="E84" s="17" t="s">
        <v>636</v>
      </c>
      <c r="F84" s="23">
        <v>46836</v>
      </c>
      <c r="G84" s="29" t="s">
        <v>183</v>
      </c>
      <c r="H84" s="156" t="s">
        <v>413</v>
      </c>
      <c r="I84" s="82"/>
      <c r="J84" s="82"/>
      <c r="K84" s="82"/>
      <c r="L84" s="15"/>
      <c r="M84" s="15"/>
      <c r="N84" s="152" t="s">
        <v>160</v>
      </c>
      <c r="O84" s="15"/>
      <c r="P84" s="15"/>
      <c r="Q84" s="15"/>
      <c r="R84" s="15"/>
      <c r="S84" s="15"/>
      <c r="T84" s="15"/>
      <c r="U84" s="15"/>
      <c r="V84" s="15"/>
      <c r="W84" s="126">
        <v>5</v>
      </c>
      <c r="X84" s="126"/>
      <c r="Y84" s="15"/>
      <c r="Z84" s="157"/>
      <c r="AA84" s="126"/>
      <c r="AB84" s="126"/>
      <c r="AC84" s="15" t="s">
        <v>361</v>
      </c>
      <c r="AD84" s="157">
        <v>1</v>
      </c>
      <c r="AE84" s="335" t="s">
        <v>119</v>
      </c>
      <c r="AF84" s="116" t="s">
        <v>104</v>
      </c>
      <c r="AG84" s="336" t="s">
        <v>665</v>
      </c>
    </row>
    <row r="85" spans="1:33" ht="32.4" x14ac:dyDescent="0.4">
      <c r="A85" s="48">
        <v>45450</v>
      </c>
      <c r="B85" s="49">
        <f t="shared" si="2"/>
        <v>45516</v>
      </c>
      <c r="C85" s="19">
        <v>45516</v>
      </c>
      <c r="D85" s="15" t="s">
        <v>613</v>
      </c>
      <c r="E85" s="16" t="s">
        <v>621</v>
      </c>
      <c r="F85" s="20">
        <v>43053</v>
      </c>
      <c r="G85" s="32" t="s">
        <v>77</v>
      </c>
      <c r="H85" s="161" t="s">
        <v>156</v>
      </c>
      <c r="I85" s="42"/>
      <c r="J85" s="42"/>
      <c r="K85" s="42"/>
      <c r="L85" s="15"/>
      <c r="M85" s="15"/>
      <c r="N85" s="152">
        <v>1</v>
      </c>
      <c r="O85" s="15"/>
      <c r="P85" s="15"/>
      <c r="Q85" s="15"/>
      <c r="R85" s="15"/>
      <c r="S85" s="15"/>
      <c r="T85" s="15"/>
      <c r="U85" s="15"/>
      <c r="V85" s="15"/>
      <c r="W85" s="126">
        <v>2.5</v>
      </c>
      <c r="X85" s="15"/>
      <c r="Y85" s="15" t="s">
        <v>514</v>
      </c>
      <c r="Z85" s="157">
        <v>0.15</v>
      </c>
      <c r="AA85" s="198"/>
      <c r="AB85" s="126"/>
      <c r="AC85" s="15" t="s">
        <v>358</v>
      </c>
      <c r="AD85" s="157">
        <v>1</v>
      </c>
      <c r="AE85" s="15" t="s">
        <v>393</v>
      </c>
      <c r="AF85" s="38" t="s">
        <v>81</v>
      </c>
      <c r="AG85" s="39"/>
    </row>
    <row r="86" spans="1:33" x14ac:dyDescent="0.4">
      <c r="A86" s="48">
        <v>45450</v>
      </c>
      <c r="B86" s="49">
        <f t="shared" si="2"/>
        <v>45516</v>
      </c>
      <c r="C86" s="19">
        <v>45516</v>
      </c>
      <c r="D86" s="16" t="s">
        <v>612</v>
      </c>
      <c r="E86" s="16" t="s">
        <v>599</v>
      </c>
      <c r="F86" s="20">
        <v>43023</v>
      </c>
      <c r="G86" s="32" t="s">
        <v>395</v>
      </c>
      <c r="H86" s="161" t="s">
        <v>151</v>
      </c>
      <c r="I86" s="42"/>
      <c r="J86" s="42"/>
      <c r="K86" s="42"/>
      <c r="L86" s="15"/>
      <c r="M86" s="15"/>
      <c r="N86" s="15"/>
      <c r="O86" s="15"/>
      <c r="P86" s="15"/>
      <c r="Q86" s="173">
        <v>3</v>
      </c>
      <c r="R86" s="15"/>
      <c r="S86" s="15"/>
      <c r="T86" s="15"/>
      <c r="U86" s="15"/>
      <c r="V86" s="15"/>
      <c r="W86" s="126">
        <v>5</v>
      </c>
      <c r="X86" s="126"/>
      <c r="Y86" s="15"/>
      <c r="Z86" s="157"/>
      <c r="AA86" s="126"/>
      <c r="AB86" s="126"/>
      <c r="AC86" s="15" t="s">
        <v>357</v>
      </c>
      <c r="AD86" s="157">
        <v>1</v>
      </c>
      <c r="AE86" s="15" t="s">
        <v>36</v>
      </c>
      <c r="AF86" s="38" t="s">
        <v>93</v>
      </c>
      <c r="AG86" s="39"/>
    </row>
    <row r="87" spans="1:33" x14ac:dyDescent="0.4">
      <c r="A87" s="48">
        <v>45450</v>
      </c>
      <c r="B87" s="49">
        <f t="shared" si="2"/>
        <v>45516</v>
      </c>
      <c r="C87" s="19">
        <v>45516</v>
      </c>
      <c r="D87" s="16" t="s">
        <v>612</v>
      </c>
      <c r="E87" s="16" t="s">
        <v>599</v>
      </c>
      <c r="F87" s="20">
        <v>43023</v>
      </c>
      <c r="G87" s="32" t="s">
        <v>578</v>
      </c>
      <c r="H87" s="161" t="s">
        <v>151</v>
      </c>
      <c r="I87" s="305"/>
      <c r="J87" s="42"/>
      <c r="K87" s="305"/>
      <c r="L87" s="15"/>
      <c r="M87" s="15"/>
      <c r="N87" s="15"/>
      <c r="O87" s="181">
        <v>3</v>
      </c>
      <c r="P87" s="172" t="s">
        <v>431</v>
      </c>
      <c r="Q87" s="15"/>
      <c r="R87" s="15"/>
      <c r="S87" s="15"/>
      <c r="T87" s="15"/>
      <c r="U87" s="15"/>
      <c r="V87" s="15"/>
      <c r="W87" s="126">
        <v>5</v>
      </c>
      <c r="X87" s="126"/>
      <c r="Y87" s="15"/>
      <c r="Z87" s="157"/>
      <c r="AA87" s="126"/>
      <c r="AB87" s="126"/>
      <c r="AC87" s="15" t="s">
        <v>357</v>
      </c>
      <c r="AD87" s="157">
        <v>1</v>
      </c>
      <c r="AE87" s="15" t="s">
        <v>36</v>
      </c>
      <c r="AF87" s="38" t="s">
        <v>93</v>
      </c>
      <c r="AG87" s="39"/>
    </row>
    <row r="88" spans="1:33" s="13" customFormat="1" x14ac:dyDescent="0.3">
      <c r="A88" s="78"/>
      <c r="B88" s="79">
        <f t="shared" si="2"/>
        <v>45517</v>
      </c>
      <c r="C88" s="72">
        <v>45517</v>
      </c>
      <c r="D88" s="80">
        <v>0</v>
      </c>
      <c r="E88" s="80"/>
      <c r="F88" s="107"/>
      <c r="G88" s="109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78"/>
      <c r="X88" s="178"/>
      <c r="Y88" s="110"/>
      <c r="Z88" s="179"/>
      <c r="AA88" s="178"/>
      <c r="AB88" s="178"/>
      <c r="AC88" s="110"/>
      <c r="AD88" s="178"/>
      <c r="AE88" s="110"/>
      <c r="AF88" s="112"/>
      <c r="AG88" s="112"/>
    </row>
    <row r="89" spans="1:33" ht="32.4" x14ac:dyDescent="0.4">
      <c r="A89" s="48">
        <v>45450</v>
      </c>
      <c r="B89" s="49">
        <f t="shared" si="2"/>
        <v>45517</v>
      </c>
      <c r="C89" s="19">
        <v>45517</v>
      </c>
      <c r="D89" s="81" t="s">
        <v>583</v>
      </c>
      <c r="E89" s="16" t="s">
        <v>596</v>
      </c>
      <c r="F89" s="33">
        <v>46812</v>
      </c>
      <c r="G89" s="29" t="s">
        <v>267</v>
      </c>
      <c r="H89" s="161" t="s">
        <v>101</v>
      </c>
      <c r="I89" s="41">
        <v>4</v>
      </c>
      <c r="J89" s="41" t="s">
        <v>41</v>
      </c>
      <c r="K89" s="15"/>
      <c r="L89" s="162" t="s">
        <v>41</v>
      </c>
      <c r="M89" s="162" t="s">
        <v>41</v>
      </c>
      <c r="N89" s="152" t="s">
        <v>41</v>
      </c>
      <c r="O89" s="172" t="s">
        <v>436</v>
      </c>
      <c r="P89" s="172" t="s">
        <v>41</v>
      </c>
      <c r="Q89" s="173" t="s">
        <v>41</v>
      </c>
      <c r="R89" s="173" t="s">
        <v>41</v>
      </c>
      <c r="S89" s="15"/>
      <c r="T89" s="15"/>
      <c r="U89" s="15"/>
      <c r="V89" s="15"/>
      <c r="W89" s="126">
        <v>5</v>
      </c>
      <c r="X89" s="126"/>
      <c r="Y89" s="69" t="s">
        <v>475</v>
      </c>
      <c r="Z89" s="165">
        <v>0.1</v>
      </c>
      <c r="AA89" s="69" t="s">
        <v>310</v>
      </c>
      <c r="AB89" s="165">
        <v>0.2</v>
      </c>
      <c r="AC89" s="166" t="s">
        <v>361</v>
      </c>
      <c r="AD89" s="165">
        <v>0.8</v>
      </c>
      <c r="AE89" s="69" t="s">
        <v>36</v>
      </c>
      <c r="AF89" s="38" t="s">
        <v>559</v>
      </c>
      <c r="AG89" s="39"/>
    </row>
    <row r="90" spans="1:33" x14ac:dyDescent="0.4">
      <c r="A90" s="48">
        <v>45450</v>
      </c>
      <c r="B90" s="49">
        <f t="shared" si="2"/>
        <v>45517</v>
      </c>
      <c r="C90" s="19">
        <v>45517</v>
      </c>
      <c r="D90" s="16" t="s">
        <v>607</v>
      </c>
      <c r="E90" s="16" t="s">
        <v>586</v>
      </c>
      <c r="F90" s="23">
        <v>41066</v>
      </c>
      <c r="G90" s="29" t="s">
        <v>406</v>
      </c>
      <c r="H90" s="161" t="s">
        <v>56</v>
      </c>
      <c r="I90" s="42"/>
      <c r="J90" s="42"/>
      <c r="K90" s="42"/>
      <c r="L90" s="15"/>
      <c r="M90" s="15"/>
      <c r="N90" s="15"/>
      <c r="O90" s="181">
        <v>2</v>
      </c>
      <c r="P90" s="181">
        <v>2</v>
      </c>
      <c r="Q90" s="15"/>
      <c r="R90" s="15"/>
      <c r="S90" s="15"/>
      <c r="T90" s="15"/>
      <c r="U90" s="15"/>
      <c r="V90" s="15"/>
      <c r="W90" s="126">
        <v>5</v>
      </c>
      <c r="X90" s="126"/>
      <c r="Y90" s="15"/>
      <c r="Z90" s="157"/>
      <c r="AA90" s="126"/>
      <c r="AB90" s="126"/>
      <c r="AC90" s="15" t="s">
        <v>361</v>
      </c>
      <c r="AD90" s="157">
        <v>1</v>
      </c>
      <c r="AE90" s="69" t="s">
        <v>157</v>
      </c>
      <c r="AF90" s="38" t="s">
        <v>45</v>
      </c>
      <c r="AG90" s="113"/>
    </row>
    <row r="91" spans="1:33" x14ac:dyDescent="0.4">
      <c r="A91" s="48">
        <v>45450</v>
      </c>
      <c r="B91" s="49">
        <f t="shared" si="2"/>
        <v>45517</v>
      </c>
      <c r="C91" s="19">
        <v>45517</v>
      </c>
      <c r="D91" s="16" t="s">
        <v>607</v>
      </c>
      <c r="E91" s="16" t="s">
        <v>586</v>
      </c>
      <c r="F91" s="23">
        <v>41066</v>
      </c>
      <c r="G91" s="29" t="s">
        <v>211</v>
      </c>
      <c r="H91" s="161" t="s">
        <v>56</v>
      </c>
      <c r="I91" s="305"/>
      <c r="J91" s="305"/>
      <c r="K91" s="305"/>
      <c r="L91" s="15"/>
      <c r="M91" s="15"/>
      <c r="N91" s="15"/>
      <c r="O91" s="15"/>
      <c r="P91" s="15"/>
      <c r="Q91" s="182">
        <v>2</v>
      </c>
      <c r="R91" s="182">
        <v>2</v>
      </c>
      <c r="S91" s="15"/>
      <c r="T91" s="15"/>
      <c r="U91" s="15"/>
      <c r="V91" s="15"/>
      <c r="W91" s="126">
        <v>5</v>
      </c>
      <c r="X91" s="126"/>
      <c r="Y91" s="15"/>
      <c r="Z91" s="157"/>
      <c r="AA91" s="309"/>
      <c r="AB91" s="309"/>
      <c r="AC91" s="15" t="s">
        <v>361</v>
      </c>
      <c r="AD91" s="157">
        <v>1</v>
      </c>
      <c r="AE91" s="15" t="s">
        <v>157</v>
      </c>
      <c r="AF91" s="38" t="s">
        <v>45</v>
      </c>
      <c r="AG91" s="113"/>
    </row>
    <row r="92" spans="1:33" x14ac:dyDescent="0.4">
      <c r="A92" s="48">
        <v>45450</v>
      </c>
      <c r="B92" s="49">
        <f t="shared" si="2"/>
        <v>45517</v>
      </c>
      <c r="C92" s="19">
        <v>45517</v>
      </c>
      <c r="D92" s="16" t="s">
        <v>607</v>
      </c>
      <c r="E92" s="16" t="s">
        <v>586</v>
      </c>
      <c r="F92" s="36">
        <v>46800</v>
      </c>
      <c r="G92" s="32" t="s">
        <v>212</v>
      </c>
      <c r="H92" s="161" t="s">
        <v>56</v>
      </c>
      <c r="I92" s="42"/>
      <c r="J92" s="42"/>
      <c r="K92" s="42"/>
      <c r="L92" s="15"/>
      <c r="M92" s="15"/>
      <c r="N92" s="15"/>
      <c r="O92" s="15"/>
      <c r="P92" s="15"/>
      <c r="Q92" s="15"/>
      <c r="R92" s="15"/>
      <c r="S92" s="163" t="s">
        <v>116</v>
      </c>
      <c r="T92" s="163" t="s">
        <v>116</v>
      </c>
      <c r="U92" s="164" t="s">
        <v>41</v>
      </c>
      <c r="V92" s="15"/>
      <c r="W92" s="126">
        <v>5</v>
      </c>
      <c r="X92" s="126"/>
      <c r="Y92" s="15"/>
      <c r="Z92" s="157"/>
      <c r="AA92" s="126"/>
      <c r="AB92" s="126"/>
      <c r="AC92" s="15" t="s">
        <v>361</v>
      </c>
      <c r="AD92" s="157">
        <v>1</v>
      </c>
      <c r="AE92" s="15" t="s">
        <v>157</v>
      </c>
      <c r="AF92" s="38" t="s">
        <v>45</v>
      </c>
      <c r="AG92" s="38"/>
    </row>
    <row r="93" spans="1:33" s="4" customFormat="1" ht="81" x14ac:dyDescent="0.4">
      <c r="A93" s="48">
        <v>45450</v>
      </c>
      <c r="B93" s="49">
        <f t="shared" si="2"/>
        <v>45517</v>
      </c>
      <c r="C93" s="19">
        <v>45517</v>
      </c>
      <c r="D93" s="52" t="s">
        <v>585</v>
      </c>
      <c r="E93" s="16" t="s">
        <v>589</v>
      </c>
      <c r="F93" s="20">
        <v>42021</v>
      </c>
      <c r="G93" s="32" t="s">
        <v>171</v>
      </c>
      <c r="H93" s="161" t="s">
        <v>169</v>
      </c>
      <c r="I93" s="305"/>
      <c r="J93" s="305"/>
      <c r="K93" s="305"/>
      <c r="L93" s="15"/>
      <c r="M93" s="15"/>
      <c r="N93" s="152">
        <v>3</v>
      </c>
      <c r="O93" s="15"/>
      <c r="P93" s="15"/>
      <c r="Q93" s="15"/>
      <c r="R93" s="15"/>
      <c r="S93" s="15"/>
      <c r="T93" s="15"/>
      <c r="U93" s="15"/>
      <c r="V93" s="15"/>
      <c r="W93" s="126">
        <v>5</v>
      </c>
      <c r="X93" s="126"/>
      <c r="Y93" s="15" t="s">
        <v>328</v>
      </c>
      <c r="Z93" s="157">
        <v>0.15</v>
      </c>
      <c r="AA93" s="309"/>
      <c r="AB93" s="309"/>
      <c r="AC93" s="15" t="s">
        <v>389</v>
      </c>
      <c r="AD93" s="157">
        <v>1</v>
      </c>
      <c r="AE93" s="15" t="s">
        <v>36</v>
      </c>
      <c r="AF93" s="38" t="s">
        <v>422</v>
      </c>
      <c r="AG93" s="38"/>
    </row>
    <row r="94" spans="1:33" s="4" customFormat="1" x14ac:dyDescent="0.4">
      <c r="A94" s="78"/>
      <c r="B94" s="79">
        <f t="shared" si="2"/>
        <v>45518</v>
      </c>
      <c r="C94" s="72">
        <v>45518</v>
      </c>
      <c r="D94" s="80">
        <v>0</v>
      </c>
      <c r="E94" s="80"/>
      <c r="F94" s="107"/>
      <c r="G94" s="109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78"/>
      <c r="X94" s="178"/>
      <c r="Y94" s="110"/>
      <c r="Z94" s="179"/>
      <c r="AA94" s="178"/>
      <c r="AB94" s="178"/>
      <c r="AC94" s="110"/>
      <c r="AD94" s="178"/>
      <c r="AE94" s="110"/>
      <c r="AF94" s="112"/>
      <c r="AG94" s="112"/>
    </row>
    <row r="95" spans="1:33" ht="32.4" x14ac:dyDescent="0.4">
      <c r="A95" s="48">
        <v>45450</v>
      </c>
      <c r="B95" s="49">
        <f t="shared" si="2"/>
        <v>45518</v>
      </c>
      <c r="C95" s="50">
        <v>45518</v>
      </c>
      <c r="D95" s="17" t="s">
        <v>583</v>
      </c>
      <c r="E95" s="16" t="s">
        <v>598</v>
      </c>
      <c r="F95" s="33">
        <v>44114</v>
      </c>
      <c r="G95" s="29" t="s">
        <v>145</v>
      </c>
      <c r="H95" s="161" t="s">
        <v>301</v>
      </c>
      <c r="I95" s="305"/>
      <c r="J95" s="41">
        <v>4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26">
        <v>5</v>
      </c>
      <c r="X95" s="126"/>
      <c r="Y95" s="15" t="s">
        <v>476</v>
      </c>
      <c r="Z95" s="157">
        <v>0.15</v>
      </c>
      <c r="AA95" s="126"/>
      <c r="AB95" s="166"/>
      <c r="AC95" s="166" t="s">
        <v>361</v>
      </c>
      <c r="AD95" s="165">
        <v>1</v>
      </c>
      <c r="AE95" s="69" t="s">
        <v>39</v>
      </c>
      <c r="AF95" s="38" t="s">
        <v>43</v>
      </c>
      <c r="AG95" s="38"/>
    </row>
    <row r="96" spans="1:33" s="13" customFormat="1" x14ac:dyDescent="0.3">
      <c r="A96" s="48">
        <v>45450</v>
      </c>
      <c r="B96" s="49">
        <f t="shared" si="2"/>
        <v>45518</v>
      </c>
      <c r="C96" s="19">
        <v>45518</v>
      </c>
      <c r="D96" s="16" t="s">
        <v>583</v>
      </c>
      <c r="E96" s="16" t="s">
        <v>586</v>
      </c>
      <c r="F96" s="23">
        <v>42401</v>
      </c>
      <c r="G96" s="29" t="s">
        <v>126</v>
      </c>
      <c r="H96" s="161" t="s">
        <v>67</v>
      </c>
      <c r="I96" s="305"/>
      <c r="J96" s="305"/>
      <c r="K96" s="305"/>
      <c r="L96" s="162">
        <v>2</v>
      </c>
      <c r="M96" s="162">
        <v>2</v>
      </c>
      <c r="N96" s="15"/>
      <c r="O96" s="15"/>
      <c r="P96" s="15"/>
      <c r="Q96" s="15"/>
      <c r="R96" s="15"/>
      <c r="S96" s="15"/>
      <c r="T96" s="15"/>
      <c r="U96" s="15"/>
      <c r="V96" s="15"/>
      <c r="W96" s="126">
        <v>5</v>
      </c>
      <c r="X96" s="126"/>
      <c r="Y96" s="15"/>
      <c r="Z96" s="157"/>
      <c r="AA96" s="126"/>
      <c r="AB96" s="157"/>
      <c r="AC96" s="126" t="s">
        <v>361</v>
      </c>
      <c r="AD96" s="157">
        <v>1</v>
      </c>
      <c r="AE96" s="15" t="s">
        <v>36</v>
      </c>
      <c r="AF96" s="38" t="s">
        <v>549</v>
      </c>
      <c r="AG96" s="38"/>
    </row>
    <row r="97" spans="1:33" ht="97.2" x14ac:dyDescent="0.4">
      <c r="A97" s="48">
        <v>45450</v>
      </c>
      <c r="B97" s="49">
        <f t="shared" si="2"/>
        <v>45518</v>
      </c>
      <c r="C97" s="19">
        <v>45518</v>
      </c>
      <c r="D97" s="15" t="s">
        <v>606</v>
      </c>
      <c r="E97" s="16" t="s">
        <v>622</v>
      </c>
      <c r="F97" s="23">
        <v>42312</v>
      </c>
      <c r="G97" s="57" t="s">
        <v>270</v>
      </c>
      <c r="H97" s="200" t="s">
        <v>156</v>
      </c>
      <c r="I97" s="42"/>
      <c r="J97" s="42"/>
      <c r="K97" s="42"/>
      <c r="L97" s="144"/>
      <c r="M97" s="144"/>
      <c r="N97" s="152">
        <v>2</v>
      </c>
      <c r="O97" s="15"/>
      <c r="P97" s="15"/>
      <c r="Q97" s="144"/>
      <c r="R97" s="144"/>
      <c r="S97" s="144"/>
      <c r="T97" s="144"/>
      <c r="U97" s="144"/>
      <c r="V97" s="144"/>
      <c r="W97" s="126">
        <v>5</v>
      </c>
      <c r="X97" s="126"/>
      <c r="Y97" s="15" t="s">
        <v>459</v>
      </c>
      <c r="Z97" s="159" t="s">
        <v>460</v>
      </c>
      <c r="AA97" s="309"/>
      <c r="AB97" s="309"/>
      <c r="AC97" s="15" t="s">
        <v>358</v>
      </c>
      <c r="AD97" s="157">
        <v>1</v>
      </c>
      <c r="AE97" s="15" t="s">
        <v>322</v>
      </c>
      <c r="AF97" s="201" t="s">
        <v>319</v>
      </c>
      <c r="AG97" s="39"/>
    </row>
    <row r="98" spans="1:33" ht="32.4" x14ac:dyDescent="0.4">
      <c r="A98" s="48">
        <v>45450</v>
      </c>
      <c r="B98" s="49">
        <f t="shared" si="2"/>
        <v>45518</v>
      </c>
      <c r="C98" s="50">
        <v>45518</v>
      </c>
      <c r="D98" s="17" t="s">
        <v>612</v>
      </c>
      <c r="E98" s="16" t="s">
        <v>596</v>
      </c>
      <c r="F98" s="36">
        <v>42041</v>
      </c>
      <c r="G98" s="37" t="s">
        <v>52</v>
      </c>
      <c r="H98" s="161" t="s">
        <v>256</v>
      </c>
      <c r="I98" s="41">
        <v>1</v>
      </c>
      <c r="J98" s="41">
        <v>1</v>
      </c>
      <c r="K98" s="41">
        <v>1</v>
      </c>
      <c r="L98" s="15"/>
      <c r="M98" s="15"/>
      <c r="N98" s="15"/>
      <c r="O98" s="172">
        <v>5</v>
      </c>
      <c r="P98" s="172">
        <v>3</v>
      </c>
      <c r="Q98" s="182"/>
      <c r="R98" s="173">
        <v>5</v>
      </c>
      <c r="S98" s="15"/>
      <c r="T98" s="15"/>
      <c r="U98" s="15"/>
      <c r="V98" s="15"/>
      <c r="W98" s="309">
        <v>5</v>
      </c>
      <c r="X98" s="309"/>
      <c r="Y98" s="153" t="s">
        <v>53</v>
      </c>
      <c r="Z98" s="174">
        <v>0.1</v>
      </c>
      <c r="AA98" s="167"/>
      <c r="AB98" s="167"/>
      <c r="AC98" s="153" t="s">
        <v>357</v>
      </c>
      <c r="AD98" s="174">
        <v>1</v>
      </c>
      <c r="AE98" s="15" t="s">
        <v>36</v>
      </c>
      <c r="AF98" s="38" t="s">
        <v>54</v>
      </c>
      <c r="AG98" s="39"/>
    </row>
    <row r="99" spans="1:33" s="4" customFormat="1" ht="32.4" x14ac:dyDescent="0.4">
      <c r="A99" s="48">
        <v>45450</v>
      </c>
      <c r="B99" s="49">
        <f t="shared" si="2"/>
        <v>45518</v>
      </c>
      <c r="C99" s="50">
        <v>45518</v>
      </c>
      <c r="D99" s="17" t="s">
        <v>612</v>
      </c>
      <c r="E99" s="16" t="s">
        <v>596</v>
      </c>
      <c r="F99" s="23">
        <v>42041</v>
      </c>
      <c r="G99" s="29" t="s">
        <v>52</v>
      </c>
      <c r="H99" s="161" t="s">
        <v>256</v>
      </c>
      <c r="I99" s="305"/>
      <c r="J99" s="305"/>
      <c r="K99" s="305"/>
      <c r="L99" s="162">
        <v>4</v>
      </c>
      <c r="M99" s="15"/>
      <c r="N99" s="15" t="s">
        <v>300</v>
      </c>
      <c r="O99" s="15"/>
      <c r="P99" s="15"/>
      <c r="Q99" s="15"/>
      <c r="R99" s="15"/>
      <c r="S99" s="15"/>
      <c r="T99" s="15"/>
      <c r="U99" s="15"/>
      <c r="V99" s="15"/>
      <c r="W99" s="309">
        <v>5</v>
      </c>
      <c r="X99" s="309"/>
      <c r="Y99" s="153" t="s">
        <v>53</v>
      </c>
      <c r="Z99" s="174">
        <v>0.1</v>
      </c>
      <c r="AA99" s="167" t="s">
        <v>300</v>
      </c>
      <c r="AB99" s="167"/>
      <c r="AC99" s="153" t="s">
        <v>357</v>
      </c>
      <c r="AD99" s="174">
        <v>1</v>
      </c>
      <c r="AE99" s="15" t="s">
        <v>36</v>
      </c>
      <c r="AF99" s="38" t="s">
        <v>54</v>
      </c>
      <c r="AG99" s="39"/>
    </row>
    <row r="100" spans="1:33" s="4" customFormat="1" x14ac:dyDescent="0.4">
      <c r="A100" s="103"/>
      <c r="B100" s="79">
        <f t="shared" si="2"/>
        <v>45519</v>
      </c>
      <c r="C100" s="72">
        <v>45519</v>
      </c>
      <c r="D100" s="105">
        <v>0</v>
      </c>
      <c r="E100" s="105"/>
      <c r="F100" s="107"/>
      <c r="G100" s="109"/>
      <c r="H100" s="192"/>
      <c r="I100" s="192"/>
      <c r="J100" s="192"/>
      <c r="K100" s="192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78"/>
      <c r="X100" s="110"/>
      <c r="Y100" s="110"/>
      <c r="Z100" s="193"/>
      <c r="AA100" s="110"/>
      <c r="AB100" s="110"/>
      <c r="AC100" s="110"/>
      <c r="AD100" s="110"/>
      <c r="AE100" s="110"/>
      <c r="AF100" s="115"/>
      <c r="AG100" s="115"/>
    </row>
    <row r="101" spans="1:33" s="6" customFormat="1" ht="48.6" x14ac:dyDescent="0.4">
      <c r="A101" s="48">
        <v>45450</v>
      </c>
      <c r="B101" s="49">
        <f t="shared" si="2"/>
        <v>45519</v>
      </c>
      <c r="C101" s="19">
        <v>45519</v>
      </c>
      <c r="D101" s="16" t="s">
        <v>597</v>
      </c>
      <c r="E101" s="16" t="s">
        <v>621</v>
      </c>
      <c r="F101" s="23">
        <v>46881</v>
      </c>
      <c r="G101" s="29" t="s">
        <v>155</v>
      </c>
      <c r="H101" s="161" t="s">
        <v>156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60" t="s">
        <v>121</v>
      </c>
      <c r="W101" s="309">
        <v>5</v>
      </c>
      <c r="X101" s="15"/>
      <c r="Y101" s="69" t="s">
        <v>513</v>
      </c>
      <c r="Z101" s="202">
        <v>0.15</v>
      </c>
      <c r="AA101" s="69" t="s">
        <v>392</v>
      </c>
      <c r="AB101" s="165">
        <v>0.3</v>
      </c>
      <c r="AC101" s="69" t="s">
        <v>358</v>
      </c>
      <c r="AD101" s="157">
        <v>0.7</v>
      </c>
      <c r="AE101" s="15" t="s">
        <v>393</v>
      </c>
      <c r="AF101" s="151" t="s">
        <v>117</v>
      </c>
      <c r="AG101" s="101" t="s">
        <v>614</v>
      </c>
    </row>
    <row r="102" spans="1:33" ht="64.8" x14ac:dyDescent="0.4">
      <c r="A102" s="48">
        <v>45450</v>
      </c>
      <c r="B102" s="49">
        <f t="shared" si="2"/>
        <v>45519</v>
      </c>
      <c r="C102" s="19">
        <v>45519</v>
      </c>
      <c r="D102" s="52" t="s">
        <v>584</v>
      </c>
      <c r="E102" s="16" t="s">
        <v>663</v>
      </c>
      <c r="F102" s="28">
        <v>46898</v>
      </c>
      <c r="G102" s="35" t="s">
        <v>173</v>
      </c>
      <c r="H102" s="161" t="s">
        <v>169</v>
      </c>
      <c r="I102" s="41">
        <v>3</v>
      </c>
      <c r="J102" s="41" t="s">
        <v>41</v>
      </c>
      <c r="K102" s="41">
        <v>3</v>
      </c>
      <c r="L102" s="162" t="s">
        <v>142</v>
      </c>
      <c r="M102" s="162" t="s">
        <v>342</v>
      </c>
      <c r="N102" s="152">
        <v>4</v>
      </c>
      <c r="O102" s="172">
        <v>5</v>
      </c>
      <c r="P102" s="172">
        <v>3</v>
      </c>
      <c r="Q102" s="173">
        <v>4</v>
      </c>
      <c r="R102" s="173">
        <v>5</v>
      </c>
      <c r="S102" s="15"/>
      <c r="T102" s="15"/>
      <c r="U102" s="15"/>
      <c r="V102" s="15"/>
      <c r="W102" s="126">
        <v>5</v>
      </c>
      <c r="X102" s="126"/>
      <c r="Y102" s="144" t="s">
        <v>388</v>
      </c>
      <c r="Z102" s="157">
        <v>0.13</v>
      </c>
      <c r="AA102" s="198"/>
      <c r="AB102" s="309"/>
      <c r="AC102" s="15" t="s">
        <v>357</v>
      </c>
      <c r="AD102" s="157">
        <v>1</v>
      </c>
      <c r="AE102" s="184" t="s">
        <v>472</v>
      </c>
      <c r="AF102" s="38" t="s">
        <v>138</v>
      </c>
      <c r="AG102" s="38"/>
    </row>
    <row r="103" spans="1:33" s="5" customFormat="1" x14ac:dyDescent="0.4">
      <c r="A103" s="48">
        <v>45450</v>
      </c>
      <c r="B103" s="49">
        <f t="shared" si="2"/>
        <v>45519</v>
      </c>
      <c r="C103" s="50">
        <v>45519</v>
      </c>
      <c r="D103" s="17" t="s">
        <v>605</v>
      </c>
      <c r="E103" s="16" t="s">
        <v>599</v>
      </c>
      <c r="F103" s="33">
        <v>46859</v>
      </c>
      <c r="G103" s="29" t="s">
        <v>153</v>
      </c>
      <c r="H103" s="161" t="s">
        <v>151</v>
      </c>
      <c r="I103" s="305"/>
      <c r="J103" s="305"/>
      <c r="K103" s="42"/>
      <c r="L103" s="15"/>
      <c r="M103" s="15"/>
      <c r="N103" s="15"/>
      <c r="O103" s="15"/>
      <c r="P103" s="15"/>
      <c r="Q103" s="15"/>
      <c r="R103" s="15"/>
      <c r="S103" s="163" t="s">
        <v>79</v>
      </c>
      <c r="T103" s="163" t="s">
        <v>79</v>
      </c>
      <c r="U103" s="15"/>
      <c r="V103" s="15"/>
      <c r="W103" s="126">
        <v>5</v>
      </c>
      <c r="X103" s="126"/>
      <c r="Y103" s="15"/>
      <c r="Z103" s="157"/>
      <c r="AA103" s="15" t="s">
        <v>154</v>
      </c>
      <c r="AB103" s="157">
        <v>0.3</v>
      </c>
      <c r="AC103" s="15" t="s">
        <v>361</v>
      </c>
      <c r="AD103" s="157">
        <v>0.7</v>
      </c>
      <c r="AE103" s="15" t="s">
        <v>36</v>
      </c>
      <c r="AF103" s="38" t="s">
        <v>98</v>
      </c>
      <c r="AG103" s="38"/>
    </row>
    <row r="104" spans="1:33" s="6" customFormat="1" x14ac:dyDescent="0.4">
      <c r="A104" s="48">
        <v>45450</v>
      </c>
      <c r="B104" s="49">
        <f t="shared" si="2"/>
        <v>45519</v>
      </c>
      <c r="C104" s="50">
        <v>45519</v>
      </c>
      <c r="D104" s="51" t="s">
        <v>601</v>
      </c>
      <c r="E104" s="16" t="s">
        <v>598</v>
      </c>
      <c r="F104" s="23">
        <v>47718</v>
      </c>
      <c r="G104" s="29" t="s">
        <v>228</v>
      </c>
      <c r="H104" s="203" t="s">
        <v>229</v>
      </c>
      <c r="I104" s="204"/>
      <c r="J104" s="204"/>
      <c r="K104" s="204"/>
      <c r="L104" s="15"/>
      <c r="M104" s="15"/>
      <c r="N104" s="15"/>
      <c r="O104" s="15"/>
      <c r="P104" s="15"/>
      <c r="Q104" s="15"/>
      <c r="R104" s="15"/>
      <c r="S104" s="15"/>
      <c r="T104" s="15"/>
      <c r="U104" s="135" t="s">
        <v>112</v>
      </c>
      <c r="V104" s="15"/>
      <c r="W104" s="126">
        <v>5</v>
      </c>
      <c r="X104" s="126"/>
      <c r="Y104" s="15"/>
      <c r="Z104" s="157"/>
      <c r="AA104" s="309"/>
      <c r="AB104" s="309"/>
      <c r="AC104" s="15" t="s">
        <v>361</v>
      </c>
      <c r="AD104" s="157">
        <v>1</v>
      </c>
      <c r="AE104" s="15" t="s">
        <v>119</v>
      </c>
      <c r="AF104" s="38" t="s">
        <v>40</v>
      </c>
      <c r="AG104" s="38"/>
    </row>
    <row r="105" spans="1:33" x14ac:dyDescent="0.4">
      <c r="A105" s="78"/>
      <c r="B105" s="79">
        <f t="shared" si="2"/>
        <v>45520</v>
      </c>
      <c r="C105" s="72">
        <v>45520</v>
      </c>
      <c r="D105" s="80">
        <v>0</v>
      </c>
      <c r="E105" s="80"/>
      <c r="F105" s="107"/>
      <c r="G105" s="109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78"/>
      <c r="X105" s="178"/>
      <c r="Y105" s="110"/>
      <c r="Z105" s="179"/>
      <c r="AA105" s="178"/>
      <c r="AB105" s="178"/>
      <c r="AC105" s="110"/>
      <c r="AD105" s="178"/>
      <c r="AE105" s="110"/>
      <c r="AF105" s="112"/>
      <c r="AG105" s="112"/>
    </row>
    <row r="106" spans="1:33" s="4" customFormat="1" ht="64.8" x14ac:dyDescent="0.4">
      <c r="A106" s="48">
        <v>45450</v>
      </c>
      <c r="B106" s="49">
        <f t="shared" ref="B106:B137" si="3">IF(C106="","",C106)</f>
        <v>45520</v>
      </c>
      <c r="C106" s="19">
        <v>45520</v>
      </c>
      <c r="D106" s="16" t="s">
        <v>606</v>
      </c>
      <c r="E106" s="16" t="s">
        <v>624</v>
      </c>
      <c r="F106" s="23">
        <v>46813</v>
      </c>
      <c r="G106" s="29" t="s">
        <v>445</v>
      </c>
      <c r="H106" s="205" t="s">
        <v>482</v>
      </c>
      <c r="I106" s="41">
        <v>4</v>
      </c>
      <c r="J106" s="41" t="s">
        <v>41</v>
      </c>
      <c r="K106" s="41">
        <v>6</v>
      </c>
      <c r="L106" s="15"/>
      <c r="M106" s="15"/>
      <c r="N106" s="152" t="s">
        <v>41</v>
      </c>
      <c r="O106" s="172">
        <v>2</v>
      </c>
      <c r="P106" s="172">
        <v>2</v>
      </c>
      <c r="Q106" s="173">
        <v>4</v>
      </c>
      <c r="R106" s="173">
        <v>4</v>
      </c>
      <c r="S106" s="15"/>
      <c r="T106" s="15"/>
      <c r="U106" s="15"/>
      <c r="V106" s="15"/>
      <c r="W106" s="309">
        <v>5</v>
      </c>
      <c r="X106" s="309"/>
      <c r="Y106" s="69" t="s">
        <v>475</v>
      </c>
      <c r="Z106" s="206" t="s">
        <v>656</v>
      </c>
      <c r="AA106" s="207" t="s">
        <v>300</v>
      </c>
      <c r="AB106" s="207"/>
      <c r="AC106" s="69" t="s">
        <v>361</v>
      </c>
      <c r="AD106" s="157">
        <v>1</v>
      </c>
      <c r="AE106" s="15" t="s">
        <v>453</v>
      </c>
      <c r="AF106" s="38" t="s">
        <v>134</v>
      </c>
      <c r="AG106" s="101" t="s">
        <v>657</v>
      </c>
    </row>
    <row r="107" spans="1:33" s="4" customFormat="1" ht="64.8" x14ac:dyDescent="0.4">
      <c r="A107" s="48">
        <v>45450</v>
      </c>
      <c r="B107" s="49">
        <f t="shared" si="3"/>
        <v>45520</v>
      </c>
      <c r="C107" s="19">
        <v>45520</v>
      </c>
      <c r="D107" s="16" t="s">
        <v>606</v>
      </c>
      <c r="E107" s="16" t="s">
        <v>624</v>
      </c>
      <c r="F107" s="23">
        <v>46815</v>
      </c>
      <c r="G107" s="29" t="s">
        <v>405</v>
      </c>
      <c r="H107" s="205" t="s">
        <v>482</v>
      </c>
      <c r="I107" s="208"/>
      <c r="J107" s="208"/>
      <c r="K107" s="208"/>
      <c r="L107" s="162">
        <v>4</v>
      </c>
      <c r="M107" s="162">
        <v>2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26">
        <v>5</v>
      </c>
      <c r="X107" s="126"/>
      <c r="Y107" s="69" t="s">
        <v>475</v>
      </c>
      <c r="Z107" s="206" t="s">
        <v>656</v>
      </c>
      <c r="AA107" s="166"/>
      <c r="AB107" s="166"/>
      <c r="AC107" s="69" t="s">
        <v>361</v>
      </c>
      <c r="AD107" s="157">
        <v>1</v>
      </c>
      <c r="AE107" s="15" t="s">
        <v>453</v>
      </c>
      <c r="AF107" s="38" t="s">
        <v>134</v>
      </c>
      <c r="AG107" s="101" t="s">
        <v>658</v>
      </c>
    </row>
    <row r="108" spans="1:33" x14ac:dyDescent="0.4">
      <c r="A108" s="102"/>
      <c r="B108" s="79">
        <f t="shared" si="3"/>
        <v>45523</v>
      </c>
      <c r="C108" s="71">
        <v>45523</v>
      </c>
      <c r="D108" s="104">
        <v>0</v>
      </c>
      <c r="E108" s="104"/>
      <c r="F108" s="106"/>
      <c r="G108" s="108"/>
      <c r="H108" s="168"/>
      <c r="I108" s="168"/>
      <c r="J108" s="168"/>
      <c r="K108" s="168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70"/>
      <c r="X108" s="169"/>
      <c r="Y108" s="169"/>
      <c r="Z108" s="171"/>
      <c r="AA108" s="169"/>
      <c r="AB108" s="169"/>
      <c r="AC108" s="169"/>
      <c r="AD108" s="169"/>
      <c r="AE108" s="169"/>
      <c r="AF108" s="111"/>
      <c r="AG108" s="111"/>
    </row>
    <row r="109" spans="1:33" ht="32.4" x14ac:dyDescent="0.4">
      <c r="A109" s="48">
        <v>45450</v>
      </c>
      <c r="B109" s="49">
        <f t="shared" si="3"/>
        <v>45523</v>
      </c>
      <c r="C109" s="19">
        <v>45523</v>
      </c>
      <c r="D109" s="16" t="s">
        <v>616</v>
      </c>
      <c r="E109" s="16" t="s">
        <v>586</v>
      </c>
      <c r="F109" s="23">
        <v>43075</v>
      </c>
      <c r="G109" s="29" t="s">
        <v>37</v>
      </c>
      <c r="H109" s="161" t="s">
        <v>40</v>
      </c>
      <c r="I109" s="305"/>
      <c r="J109" s="305"/>
      <c r="K109" s="305"/>
      <c r="L109" s="162">
        <v>4</v>
      </c>
      <c r="M109" s="162">
        <v>8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26">
        <v>5</v>
      </c>
      <c r="X109" s="126"/>
      <c r="Y109" s="15"/>
      <c r="Z109" s="157"/>
      <c r="AA109" s="309"/>
      <c r="AB109" s="309"/>
      <c r="AC109" s="153" t="s">
        <v>357</v>
      </c>
      <c r="AD109" s="157">
        <v>1</v>
      </c>
      <c r="AE109" s="15" t="s">
        <v>39</v>
      </c>
      <c r="AF109" s="38" t="s">
        <v>63</v>
      </c>
      <c r="AG109" s="38"/>
    </row>
    <row r="110" spans="1:33" ht="32.4" x14ac:dyDescent="0.4">
      <c r="A110" s="48">
        <v>45450</v>
      </c>
      <c r="B110" s="49">
        <f t="shared" si="3"/>
        <v>45523</v>
      </c>
      <c r="C110" s="19">
        <v>45523</v>
      </c>
      <c r="D110" s="52" t="s">
        <v>617</v>
      </c>
      <c r="E110" s="16" t="s">
        <v>598</v>
      </c>
      <c r="F110" s="20">
        <v>46909</v>
      </c>
      <c r="G110" s="32" t="s">
        <v>102</v>
      </c>
      <c r="H110" s="161" t="s">
        <v>100</v>
      </c>
      <c r="I110" s="41" t="s">
        <v>41</v>
      </c>
      <c r="J110" s="41" t="s">
        <v>41</v>
      </c>
      <c r="K110" s="41" t="s">
        <v>450</v>
      </c>
      <c r="L110" s="162" t="s">
        <v>41</v>
      </c>
      <c r="M110" s="162" t="s">
        <v>41</v>
      </c>
      <c r="N110" s="152">
        <v>5</v>
      </c>
      <c r="O110" s="172" t="s">
        <v>437</v>
      </c>
      <c r="P110" s="172" t="s">
        <v>437</v>
      </c>
      <c r="Q110" s="173" t="s">
        <v>41</v>
      </c>
      <c r="R110" s="173" t="s">
        <v>41</v>
      </c>
      <c r="S110" s="15"/>
      <c r="T110" s="15"/>
      <c r="U110" s="15"/>
      <c r="V110" s="15"/>
      <c r="W110" s="126">
        <v>5</v>
      </c>
      <c r="X110" s="309"/>
      <c r="Y110" s="15" t="s">
        <v>468</v>
      </c>
      <c r="Z110" s="157">
        <v>0.1</v>
      </c>
      <c r="AA110" s="15" t="s">
        <v>467</v>
      </c>
      <c r="AB110" s="157">
        <v>0.2</v>
      </c>
      <c r="AC110" s="309" t="s">
        <v>358</v>
      </c>
      <c r="AD110" s="157">
        <v>0.8</v>
      </c>
      <c r="AE110" s="15" t="s">
        <v>39</v>
      </c>
      <c r="AF110" s="38" t="s">
        <v>101</v>
      </c>
      <c r="AG110" s="38"/>
    </row>
    <row r="111" spans="1:33" s="14" customFormat="1" x14ac:dyDescent="0.3">
      <c r="A111" s="78"/>
      <c r="B111" s="79">
        <f t="shared" si="3"/>
        <v>45524</v>
      </c>
      <c r="C111" s="72">
        <v>45524</v>
      </c>
      <c r="D111" s="80">
        <v>0</v>
      </c>
      <c r="E111" s="80"/>
      <c r="F111" s="107"/>
      <c r="G111" s="109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78"/>
      <c r="X111" s="178"/>
      <c r="Y111" s="110"/>
      <c r="Z111" s="179"/>
      <c r="AA111" s="178"/>
      <c r="AB111" s="178"/>
      <c r="AC111" s="110"/>
      <c r="AD111" s="178"/>
      <c r="AE111" s="110"/>
      <c r="AF111" s="112"/>
      <c r="AG111" s="112"/>
    </row>
    <row r="112" spans="1:33" s="4" customFormat="1" ht="64.8" x14ac:dyDescent="0.4">
      <c r="A112" s="48">
        <v>45450</v>
      </c>
      <c r="B112" s="49">
        <f t="shared" si="3"/>
        <v>45524</v>
      </c>
      <c r="C112" s="19">
        <v>45524</v>
      </c>
      <c r="D112" s="52" t="s">
        <v>620</v>
      </c>
      <c r="E112" s="16" t="s">
        <v>630</v>
      </c>
      <c r="F112" s="23">
        <v>42012</v>
      </c>
      <c r="G112" s="57" t="s">
        <v>184</v>
      </c>
      <c r="H112" s="180" t="s">
        <v>253</v>
      </c>
      <c r="I112" s="15"/>
      <c r="J112" s="15"/>
      <c r="K112" s="15"/>
      <c r="L112" s="162">
        <v>2</v>
      </c>
      <c r="M112" s="162">
        <v>2</v>
      </c>
      <c r="N112" s="152">
        <v>2</v>
      </c>
      <c r="O112" s="15"/>
      <c r="P112" s="15"/>
      <c r="Q112" s="15"/>
      <c r="R112" s="15"/>
      <c r="S112" s="15"/>
      <c r="T112" s="15"/>
      <c r="U112" s="15"/>
      <c r="V112" s="15"/>
      <c r="W112" s="126">
        <v>5</v>
      </c>
      <c r="X112" s="126"/>
      <c r="Y112" s="15" t="s">
        <v>504</v>
      </c>
      <c r="Z112" s="157">
        <v>0.1</v>
      </c>
      <c r="AA112" s="126"/>
      <c r="AB112" s="126"/>
      <c r="AC112" s="309" t="s">
        <v>361</v>
      </c>
      <c r="AD112" s="157">
        <v>1</v>
      </c>
      <c r="AE112" s="15" t="s">
        <v>36</v>
      </c>
      <c r="AF112" s="38" t="s">
        <v>185</v>
      </c>
      <c r="AG112" s="39"/>
    </row>
    <row r="113" spans="1:33" ht="64.8" x14ac:dyDescent="0.4">
      <c r="A113" s="48">
        <v>45450</v>
      </c>
      <c r="B113" s="49">
        <f t="shared" si="3"/>
        <v>45524</v>
      </c>
      <c r="C113" s="19">
        <v>45524</v>
      </c>
      <c r="D113" s="52" t="s">
        <v>620</v>
      </c>
      <c r="E113" s="16" t="s">
        <v>630</v>
      </c>
      <c r="F113" s="23">
        <v>42012</v>
      </c>
      <c r="G113" s="57" t="s">
        <v>184</v>
      </c>
      <c r="H113" s="161" t="s">
        <v>185</v>
      </c>
      <c r="I113" s="41">
        <v>2</v>
      </c>
      <c r="J113" s="41">
        <v>2</v>
      </c>
      <c r="K113" s="41">
        <v>2</v>
      </c>
      <c r="L113" s="15"/>
      <c r="M113" s="15"/>
      <c r="N113" s="15"/>
      <c r="O113" s="172">
        <v>2</v>
      </c>
      <c r="P113" s="172">
        <v>2</v>
      </c>
      <c r="Q113" s="182">
        <v>2</v>
      </c>
      <c r="R113" s="182">
        <v>2</v>
      </c>
      <c r="S113" s="15"/>
      <c r="T113" s="15"/>
      <c r="U113" s="15"/>
      <c r="V113" s="15"/>
      <c r="W113" s="126">
        <v>5</v>
      </c>
      <c r="X113" s="126"/>
      <c r="Y113" s="15" t="s">
        <v>504</v>
      </c>
      <c r="Z113" s="157">
        <v>0.1</v>
      </c>
      <c r="AA113" s="126"/>
      <c r="AB113" s="126"/>
      <c r="AC113" s="309" t="s">
        <v>361</v>
      </c>
      <c r="AD113" s="157">
        <v>1</v>
      </c>
      <c r="AE113" s="15" t="s">
        <v>36</v>
      </c>
      <c r="AF113" s="38" t="s">
        <v>253</v>
      </c>
      <c r="AG113" s="39"/>
    </row>
    <row r="114" spans="1:33" s="8" customFormat="1" x14ac:dyDescent="0.4">
      <c r="A114" s="48">
        <v>45450</v>
      </c>
      <c r="B114" s="49">
        <f t="shared" si="3"/>
        <v>45524</v>
      </c>
      <c r="C114" s="19">
        <v>45524</v>
      </c>
      <c r="D114" s="16" t="s">
        <v>601</v>
      </c>
      <c r="E114" s="16" t="s">
        <v>586</v>
      </c>
      <c r="F114" s="33">
        <v>46866</v>
      </c>
      <c r="G114" s="29" t="s">
        <v>255</v>
      </c>
      <c r="H114" s="161" t="s">
        <v>256</v>
      </c>
      <c r="I114" s="305"/>
      <c r="J114" s="305"/>
      <c r="K114" s="305"/>
      <c r="L114" s="15"/>
      <c r="M114" s="15"/>
      <c r="N114" s="15"/>
      <c r="O114" s="15"/>
      <c r="P114" s="15"/>
      <c r="Q114" s="15"/>
      <c r="R114" s="15"/>
      <c r="S114" s="163" t="s">
        <v>116</v>
      </c>
      <c r="T114" s="163" t="s">
        <v>116</v>
      </c>
      <c r="U114" s="164" t="s">
        <v>116</v>
      </c>
      <c r="V114" s="15"/>
      <c r="W114" s="126">
        <v>5</v>
      </c>
      <c r="X114" s="126"/>
      <c r="Y114" s="15"/>
      <c r="Z114" s="157"/>
      <c r="AA114" s="126"/>
      <c r="AB114" s="126"/>
      <c r="AC114" s="309" t="s">
        <v>361</v>
      </c>
      <c r="AD114" s="157">
        <v>1</v>
      </c>
      <c r="AE114" s="15" t="s">
        <v>50</v>
      </c>
      <c r="AF114" s="38" t="s">
        <v>307</v>
      </c>
      <c r="AG114" s="38"/>
    </row>
    <row r="115" spans="1:33" s="7" customFormat="1" x14ac:dyDescent="0.4">
      <c r="A115" s="48">
        <v>45450</v>
      </c>
      <c r="B115" s="49">
        <f t="shared" si="3"/>
        <v>45524</v>
      </c>
      <c r="C115" s="19">
        <v>45524</v>
      </c>
      <c r="D115" s="16" t="s">
        <v>601</v>
      </c>
      <c r="E115" s="16" t="s">
        <v>586</v>
      </c>
      <c r="F115" s="33">
        <v>46889</v>
      </c>
      <c r="G115" s="29" t="s">
        <v>257</v>
      </c>
      <c r="H115" s="161" t="s">
        <v>256</v>
      </c>
      <c r="I115" s="41" t="s">
        <v>41</v>
      </c>
      <c r="J115" s="41" t="s">
        <v>41</v>
      </c>
      <c r="K115" s="41" t="s">
        <v>41</v>
      </c>
      <c r="L115" s="162" t="s">
        <v>41</v>
      </c>
      <c r="M115" s="162" t="s">
        <v>41</v>
      </c>
      <c r="N115" s="15"/>
      <c r="O115" s="172" t="s">
        <v>436</v>
      </c>
      <c r="P115" s="172" t="s">
        <v>436</v>
      </c>
      <c r="Q115" s="173" t="s">
        <v>41</v>
      </c>
      <c r="R115" s="173" t="s">
        <v>41</v>
      </c>
      <c r="S115" s="15"/>
      <c r="T115" s="15"/>
      <c r="U115" s="15"/>
      <c r="V115" s="15"/>
      <c r="W115" s="126">
        <v>5</v>
      </c>
      <c r="X115" s="126"/>
      <c r="Y115" s="15"/>
      <c r="Z115" s="157"/>
      <c r="AA115" s="126"/>
      <c r="AB115" s="309"/>
      <c r="AC115" s="309" t="s">
        <v>361</v>
      </c>
      <c r="AD115" s="157">
        <v>1</v>
      </c>
      <c r="AE115" s="15" t="s">
        <v>50</v>
      </c>
      <c r="AF115" s="38" t="s">
        <v>253</v>
      </c>
      <c r="AG115" s="38"/>
    </row>
    <row r="116" spans="1:33" x14ac:dyDescent="0.4">
      <c r="A116" s="78"/>
      <c r="B116" s="79">
        <f t="shared" si="3"/>
        <v>45525</v>
      </c>
      <c r="C116" s="72">
        <v>45525</v>
      </c>
      <c r="D116" s="80">
        <v>0</v>
      </c>
      <c r="E116" s="80"/>
      <c r="F116" s="107"/>
      <c r="G116" s="109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78"/>
      <c r="X116" s="178"/>
      <c r="Y116" s="110"/>
      <c r="Z116" s="179"/>
      <c r="AA116" s="178"/>
      <c r="AB116" s="178"/>
      <c r="AC116" s="110"/>
      <c r="AD116" s="178"/>
      <c r="AE116" s="110"/>
      <c r="AF116" s="112"/>
      <c r="AG116" s="112"/>
    </row>
    <row r="117" spans="1:33" s="4" customFormat="1" ht="32.4" x14ac:dyDescent="0.4">
      <c r="A117" s="48">
        <v>45450</v>
      </c>
      <c r="B117" s="49">
        <f t="shared" si="3"/>
        <v>45525</v>
      </c>
      <c r="C117" s="19">
        <v>45525</v>
      </c>
      <c r="D117" s="52" t="s">
        <v>583</v>
      </c>
      <c r="E117" s="16" t="s">
        <v>596</v>
      </c>
      <c r="F117" s="33">
        <v>44121</v>
      </c>
      <c r="G117" s="29" t="s">
        <v>444</v>
      </c>
      <c r="H117" s="161" t="s">
        <v>89</v>
      </c>
      <c r="I117" s="42"/>
      <c r="J117" s="42"/>
      <c r="K117" s="42"/>
      <c r="L117" s="162">
        <v>4</v>
      </c>
      <c r="M117" s="162">
        <v>4</v>
      </c>
      <c r="N117" s="152">
        <v>4</v>
      </c>
      <c r="O117" s="15"/>
      <c r="P117" s="15"/>
      <c r="Q117" s="15"/>
      <c r="R117" s="15"/>
      <c r="S117" s="15"/>
      <c r="T117" s="15"/>
      <c r="U117" s="15"/>
      <c r="V117" s="15"/>
      <c r="W117" s="126">
        <v>5</v>
      </c>
      <c r="X117" s="126"/>
      <c r="Y117" s="15" t="s">
        <v>92</v>
      </c>
      <c r="Z117" s="157">
        <v>0.15</v>
      </c>
      <c r="AA117" s="126"/>
      <c r="AB117" s="166"/>
      <c r="AC117" s="69" t="s">
        <v>361</v>
      </c>
      <c r="AD117" s="165">
        <v>1</v>
      </c>
      <c r="AE117" s="69" t="s">
        <v>50</v>
      </c>
      <c r="AF117" s="38" t="s">
        <v>93</v>
      </c>
      <c r="AG117" s="38"/>
    </row>
    <row r="118" spans="1:33" s="4" customFormat="1" ht="32.4" x14ac:dyDescent="0.4">
      <c r="A118" s="48">
        <v>45450</v>
      </c>
      <c r="B118" s="49">
        <f t="shared" si="3"/>
        <v>45525</v>
      </c>
      <c r="C118" s="19">
        <v>45525</v>
      </c>
      <c r="D118" s="52" t="s">
        <v>583</v>
      </c>
      <c r="E118" s="16" t="s">
        <v>596</v>
      </c>
      <c r="F118" s="33">
        <v>44121</v>
      </c>
      <c r="G118" s="29" t="s">
        <v>404</v>
      </c>
      <c r="H118" s="161" t="s">
        <v>89</v>
      </c>
      <c r="I118" s="42"/>
      <c r="J118" s="42"/>
      <c r="K118" s="15"/>
      <c r="L118" s="15"/>
      <c r="M118" s="15"/>
      <c r="N118" s="15"/>
      <c r="O118" s="15"/>
      <c r="P118" s="15"/>
      <c r="Q118" s="173">
        <v>4</v>
      </c>
      <c r="R118" s="173">
        <v>4</v>
      </c>
      <c r="S118" s="15"/>
      <c r="T118" s="15"/>
      <c r="U118" s="15"/>
      <c r="V118" s="15"/>
      <c r="W118" s="126">
        <v>5</v>
      </c>
      <c r="X118" s="126"/>
      <c r="Y118" s="15" t="s">
        <v>92</v>
      </c>
      <c r="Z118" s="157">
        <v>0.15</v>
      </c>
      <c r="AA118" s="126"/>
      <c r="AB118" s="166"/>
      <c r="AC118" s="69" t="s">
        <v>361</v>
      </c>
      <c r="AD118" s="165">
        <v>1</v>
      </c>
      <c r="AE118" s="69" t="s">
        <v>50</v>
      </c>
      <c r="AF118" s="38" t="s">
        <v>93</v>
      </c>
      <c r="AG118" s="38"/>
    </row>
    <row r="119" spans="1:33" ht="32.4" x14ac:dyDescent="0.4">
      <c r="A119" s="48">
        <v>45450</v>
      </c>
      <c r="B119" s="49">
        <f t="shared" si="3"/>
        <v>45525</v>
      </c>
      <c r="C119" s="50">
        <v>45525</v>
      </c>
      <c r="D119" s="17" t="s">
        <v>607</v>
      </c>
      <c r="E119" s="16" t="s">
        <v>611</v>
      </c>
      <c r="F119" s="20">
        <v>46855</v>
      </c>
      <c r="G119" s="32" t="s">
        <v>260</v>
      </c>
      <c r="H119" s="161" t="s">
        <v>91</v>
      </c>
      <c r="I119" s="41" t="s">
        <v>41</v>
      </c>
      <c r="J119" s="41" t="s">
        <v>42</v>
      </c>
      <c r="K119" s="41" t="s">
        <v>41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26">
        <v>5</v>
      </c>
      <c r="X119" s="126"/>
      <c r="Y119" s="153" t="s">
        <v>351</v>
      </c>
      <c r="Z119" s="174">
        <v>0.15</v>
      </c>
      <c r="AA119" s="167"/>
      <c r="AB119" s="167"/>
      <c r="AC119" s="153" t="s">
        <v>361</v>
      </c>
      <c r="AD119" s="174">
        <v>1</v>
      </c>
      <c r="AE119" s="15" t="s">
        <v>39</v>
      </c>
      <c r="AF119" s="38" t="s">
        <v>100</v>
      </c>
      <c r="AG119" s="38"/>
    </row>
    <row r="120" spans="1:33" s="4" customFormat="1" x14ac:dyDescent="0.4">
      <c r="A120" s="103"/>
      <c r="B120" s="79">
        <f t="shared" si="3"/>
        <v>45526</v>
      </c>
      <c r="C120" s="72">
        <v>45526</v>
      </c>
      <c r="D120" s="105">
        <v>0</v>
      </c>
      <c r="E120" s="105"/>
      <c r="F120" s="107"/>
      <c r="G120" s="109"/>
      <c r="H120" s="192"/>
      <c r="I120" s="192"/>
      <c r="J120" s="192"/>
      <c r="K120" s="192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78"/>
      <c r="X120" s="110"/>
      <c r="Y120" s="110"/>
      <c r="Z120" s="193"/>
      <c r="AA120" s="110"/>
      <c r="AB120" s="110"/>
      <c r="AC120" s="110"/>
      <c r="AD120" s="110"/>
      <c r="AE120" s="110"/>
      <c r="AF120" s="115"/>
      <c r="AG120" s="115"/>
    </row>
    <row r="121" spans="1:33" ht="48.6" x14ac:dyDescent="0.4">
      <c r="A121" s="48">
        <v>45450</v>
      </c>
      <c r="B121" s="49">
        <f t="shared" si="3"/>
        <v>45526</v>
      </c>
      <c r="C121" s="50">
        <v>45526</v>
      </c>
      <c r="D121" s="17" t="s">
        <v>592</v>
      </c>
      <c r="E121" s="16" t="s">
        <v>621</v>
      </c>
      <c r="F121" s="20">
        <v>45392</v>
      </c>
      <c r="G121" s="32" t="s">
        <v>292</v>
      </c>
      <c r="H121" s="161" t="s">
        <v>302</v>
      </c>
      <c r="I121" s="41" t="s">
        <v>41</v>
      </c>
      <c r="J121" s="305"/>
      <c r="K121" s="41" t="s">
        <v>41</v>
      </c>
      <c r="L121" s="15"/>
      <c r="M121" s="162" t="s">
        <v>41</v>
      </c>
      <c r="N121" s="152">
        <v>5</v>
      </c>
      <c r="O121" s="172" t="s">
        <v>431</v>
      </c>
      <c r="P121" s="172" t="s">
        <v>431</v>
      </c>
      <c r="Q121" s="15"/>
      <c r="R121" s="15"/>
      <c r="S121" s="15"/>
      <c r="T121" s="15"/>
      <c r="U121" s="15"/>
      <c r="V121" s="15"/>
      <c r="W121" s="126">
        <v>5</v>
      </c>
      <c r="X121" s="126"/>
      <c r="Y121" s="209"/>
      <c r="Z121" s="174"/>
      <c r="AA121" s="153" t="s">
        <v>532</v>
      </c>
      <c r="AB121" s="210">
        <v>0.33329999999999999</v>
      </c>
      <c r="AC121" s="183" t="s">
        <v>358</v>
      </c>
      <c r="AD121" s="210">
        <v>0.66669999999999996</v>
      </c>
      <c r="AE121" s="15" t="s">
        <v>36</v>
      </c>
      <c r="AF121" s="38" t="s">
        <v>149</v>
      </c>
      <c r="AG121" s="39"/>
    </row>
    <row r="122" spans="1:33" s="4" customFormat="1" x14ac:dyDescent="0.4">
      <c r="A122" s="48">
        <v>45450</v>
      </c>
      <c r="B122" s="49">
        <f t="shared" si="3"/>
        <v>45526</v>
      </c>
      <c r="C122" s="19">
        <v>45526</v>
      </c>
      <c r="D122" s="16" t="s">
        <v>612</v>
      </c>
      <c r="E122" s="16" t="s">
        <v>611</v>
      </c>
      <c r="F122" s="20">
        <v>43025</v>
      </c>
      <c r="G122" s="32" t="s">
        <v>181</v>
      </c>
      <c r="H122" s="161" t="s">
        <v>43</v>
      </c>
      <c r="I122" s="305"/>
      <c r="J122" s="41">
        <v>3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26">
        <v>5</v>
      </c>
      <c r="X122" s="126"/>
      <c r="Y122" s="15" t="s">
        <v>345</v>
      </c>
      <c r="Z122" s="157">
        <v>0.15</v>
      </c>
      <c r="AA122" s="309"/>
      <c r="AB122" s="309"/>
      <c r="AC122" s="15" t="s">
        <v>357</v>
      </c>
      <c r="AD122" s="157">
        <v>1</v>
      </c>
      <c r="AE122" s="15" t="s">
        <v>453</v>
      </c>
      <c r="AF122" s="38" t="s">
        <v>89</v>
      </c>
      <c r="AG122" s="38"/>
    </row>
    <row r="123" spans="1:33" x14ac:dyDescent="0.4">
      <c r="A123" s="78"/>
      <c r="B123" s="79">
        <f t="shared" si="3"/>
        <v>45527</v>
      </c>
      <c r="C123" s="72">
        <v>45527</v>
      </c>
      <c r="D123" s="80">
        <v>0</v>
      </c>
      <c r="E123" s="80"/>
      <c r="F123" s="107"/>
      <c r="G123" s="109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78"/>
      <c r="X123" s="178"/>
      <c r="Y123" s="110"/>
      <c r="Z123" s="179"/>
      <c r="AA123" s="178"/>
      <c r="AB123" s="178"/>
      <c r="AC123" s="110"/>
      <c r="AD123" s="178"/>
      <c r="AE123" s="110"/>
      <c r="AF123" s="112"/>
      <c r="AG123" s="112"/>
    </row>
    <row r="124" spans="1:33" s="4" customFormat="1" ht="81" x14ac:dyDescent="0.4">
      <c r="A124" s="48">
        <v>45450</v>
      </c>
      <c r="B124" s="49">
        <f t="shared" si="3"/>
        <v>45527</v>
      </c>
      <c r="C124" s="50">
        <v>45527</v>
      </c>
      <c r="D124" s="15" t="s">
        <v>583</v>
      </c>
      <c r="E124" s="16" t="s">
        <v>623</v>
      </c>
      <c r="F124" s="23">
        <v>42032</v>
      </c>
      <c r="G124" s="29" t="s">
        <v>180</v>
      </c>
      <c r="H124" s="161" t="s">
        <v>43</v>
      </c>
      <c r="I124" s="41">
        <v>2</v>
      </c>
      <c r="J124" s="41">
        <v>2</v>
      </c>
      <c r="K124" s="41">
        <v>2</v>
      </c>
      <c r="L124" s="15"/>
      <c r="M124" s="15"/>
      <c r="N124" s="15"/>
      <c r="O124" s="172" t="s">
        <v>487</v>
      </c>
      <c r="P124" s="172" t="s">
        <v>487</v>
      </c>
      <c r="Q124" s="15"/>
      <c r="R124" s="182">
        <v>2</v>
      </c>
      <c r="S124" s="15"/>
      <c r="T124" s="15"/>
      <c r="U124" s="15"/>
      <c r="V124" s="15"/>
      <c r="W124" s="15">
        <v>5</v>
      </c>
      <c r="X124" s="15"/>
      <c r="Y124" s="15" t="s">
        <v>328</v>
      </c>
      <c r="Z124" s="159">
        <v>0.1</v>
      </c>
      <c r="AA124" s="15"/>
      <c r="AB124" s="15"/>
      <c r="AC124" s="15" t="s">
        <v>361</v>
      </c>
      <c r="AD124" s="159">
        <v>1</v>
      </c>
      <c r="AE124" s="15" t="s">
        <v>50</v>
      </c>
      <c r="AF124" s="38" t="s">
        <v>301</v>
      </c>
      <c r="AG124" s="38"/>
    </row>
    <row r="125" spans="1:33" ht="81" x14ac:dyDescent="0.4">
      <c r="A125" s="48">
        <v>45450</v>
      </c>
      <c r="B125" s="49">
        <f t="shared" si="3"/>
        <v>45527</v>
      </c>
      <c r="C125" s="50">
        <v>45527</v>
      </c>
      <c r="D125" s="17" t="s">
        <v>607</v>
      </c>
      <c r="E125" s="16" t="s">
        <v>623</v>
      </c>
      <c r="F125" s="23">
        <v>43052</v>
      </c>
      <c r="G125" s="29" t="s">
        <v>99</v>
      </c>
      <c r="H125" s="161" t="s">
        <v>100</v>
      </c>
      <c r="I125" s="42"/>
      <c r="J125" s="42"/>
      <c r="K125" s="42"/>
      <c r="L125" s="15"/>
      <c r="M125" s="15"/>
      <c r="N125" s="152">
        <v>2</v>
      </c>
      <c r="O125" s="15"/>
      <c r="P125" s="15"/>
      <c r="Q125" s="15"/>
      <c r="R125" s="15"/>
      <c r="S125" s="15"/>
      <c r="T125" s="15"/>
      <c r="U125" s="15"/>
      <c r="V125" s="15"/>
      <c r="W125" s="126">
        <v>5</v>
      </c>
      <c r="X125" s="126"/>
      <c r="Y125" s="15"/>
      <c r="Z125" s="157"/>
      <c r="AA125" s="126"/>
      <c r="AB125" s="126"/>
      <c r="AC125" s="15" t="s">
        <v>361</v>
      </c>
      <c r="AD125" s="157">
        <v>1</v>
      </c>
      <c r="AE125" s="15" t="s">
        <v>39</v>
      </c>
      <c r="AF125" s="38" t="s">
        <v>101</v>
      </c>
      <c r="AG125" s="38"/>
    </row>
    <row r="126" spans="1:33" ht="32.4" x14ac:dyDescent="0.4">
      <c r="A126" s="48">
        <v>45450</v>
      </c>
      <c r="B126" s="49">
        <f t="shared" si="3"/>
        <v>45527</v>
      </c>
      <c r="C126" s="50">
        <v>45527</v>
      </c>
      <c r="D126" s="51" t="s">
        <v>595</v>
      </c>
      <c r="E126" s="16" t="s">
        <v>586</v>
      </c>
      <c r="F126" s="33">
        <v>43431</v>
      </c>
      <c r="G126" s="29" t="s">
        <v>190</v>
      </c>
      <c r="H126" s="161" t="s">
        <v>81</v>
      </c>
      <c r="I126" s="305"/>
      <c r="J126" s="305"/>
      <c r="K126" s="305"/>
      <c r="L126" s="162">
        <v>2</v>
      </c>
      <c r="M126" s="162">
        <v>2</v>
      </c>
      <c r="N126" s="15" t="s">
        <v>300</v>
      </c>
      <c r="O126" s="15"/>
      <c r="P126" s="15"/>
      <c r="Q126" s="182">
        <v>2</v>
      </c>
      <c r="R126" s="308"/>
      <c r="S126" s="308"/>
      <c r="T126" s="308"/>
      <c r="U126" s="15"/>
      <c r="V126" s="15"/>
      <c r="W126" s="126">
        <v>5</v>
      </c>
      <c r="X126" s="126"/>
      <c r="Y126" s="15" t="s">
        <v>573</v>
      </c>
      <c r="Z126" s="157">
        <v>0.12</v>
      </c>
      <c r="AA126" s="126"/>
      <c r="AB126" s="166" t="s">
        <v>300</v>
      </c>
      <c r="AC126" s="69" t="s">
        <v>361</v>
      </c>
      <c r="AD126" s="165">
        <v>1</v>
      </c>
      <c r="AE126" s="15" t="s">
        <v>36</v>
      </c>
      <c r="AF126" s="38" t="s">
        <v>422</v>
      </c>
      <c r="AG126" s="38"/>
    </row>
    <row r="127" spans="1:33" ht="48.6" x14ac:dyDescent="0.4">
      <c r="A127" s="48">
        <v>45450</v>
      </c>
      <c r="B127" s="49">
        <f t="shared" si="3"/>
        <v>45527</v>
      </c>
      <c r="C127" s="50">
        <v>45527</v>
      </c>
      <c r="D127" s="51" t="s">
        <v>618</v>
      </c>
      <c r="E127" s="16" t="s">
        <v>625</v>
      </c>
      <c r="F127" s="23">
        <v>46834</v>
      </c>
      <c r="G127" s="29" t="s">
        <v>57</v>
      </c>
      <c r="H127" s="161" t="s">
        <v>45</v>
      </c>
      <c r="I127" s="41">
        <v>4</v>
      </c>
      <c r="J127" s="41" t="s">
        <v>41</v>
      </c>
      <c r="K127" s="41">
        <v>4</v>
      </c>
      <c r="L127" s="162" t="s">
        <v>41</v>
      </c>
      <c r="M127" s="162" t="s">
        <v>41</v>
      </c>
      <c r="N127" s="152" t="s">
        <v>41</v>
      </c>
      <c r="O127" s="172">
        <v>8</v>
      </c>
      <c r="P127" s="172" t="s">
        <v>487</v>
      </c>
      <c r="Q127" s="173" t="s">
        <v>41</v>
      </c>
      <c r="R127" s="173" t="s">
        <v>41</v>
      </c>
      <c r="S127" s="15"/>
      <c r="T127" s="15"/>
      <c r="U127" s="15"/>
      <c r="V127" s="15"/>
      <c r="W127" s="126">
        <v>5</v>
      </c>
      <c r="X127" s="126"/>
      <c r="Y127" s="15" t="s">
        <v>315</v>
      </c>
      <c r="Z127" s="157">
        <v>0.16669999999999999</v>
      </c>
      <c r="AA127" s="126"/>
      <c r="AB127" s="126"/>
      <c r="AC127" s="15" t="s">
        <v>361</v>
      </c>
      <c r="AD127" s="157">
        <v>1</v>
      </c>
      <c r="AE127" s="15" t="s">
        <v>144</v>
      </c>
      <c r="AF127" s="39" t="s">
        <v>60</v>
      </c>
      <c r="AG127" s="39"/>
    </row>
    <row r="128" spans="1:33" s="4" customFormat="1" x14ac:dyDescent="0.4">
      <c r="A128" s="102"/>
      <c r="B128" s="79">
        <f t="shared" si="3"/>
        <v>45530</v>
      </c>
      <c r="C128" s="71">
        <v>45530</v>
      </c>
      <c r="D128" s="104">
        <v>0</v>
      </c>
      <c r="E128" s="104"/>
      <c r="F128" s="106"/>
      <c r="G128" s="108"/>
      <c r="H128" s="168"/>
      <c r="I128" s="168"/>
      <c r="J128" s="168"/>
      <c r="K128" s="168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70"/>
      <c r="X128" s="169"/>
      <c r="Y128" s="169"/>
      <c r="Z128" s="171"/>
      <c r="AA128" s="169"/>
      <c r="AB128" s="169"/>
      <c r="AC128" s="169"/>
      <c r="AD128" s="169"/>
      <c r="AE128" s="169"/>
      <c r="AF128" s="111"/>
      <c r="AG128" s="111"/>
    </row>
    <row r="129" spans="1:33" ht="81" x14ac:dyDescent="0.4">
      <c r="A129" s="48">
        <v>45450</v>
      </c>
      <c r="B129" s="49">
        <f t="shared" si="3"/>
        <v>45530</v>
      </c>
      <c r="C129" s="50">
        <v>45530</v>
      </c>
      <c r="D129" s="17" t="s">
        <v>592</v>
      </c>
      <c r="E129" s="16" t="s">
        <v>623</v>
      </c>
      <c r="F129" s="33">
        <v>42021</v>
      </c>
      <c r="G129" s="29" t="s">
        <v>293</v>
      </c>
      <c r="H129" s="161" t="s">
        <v>93</v>
      </c>
      <c r="I129" s="41">
        <v>2</v>
      </c>
      <c r="J129" s="41">
        <v>2</v>
      </c>
      <c r="K129" s="41">
        <v>2</v>
      </c>
      <c r="L129" s="162">
        <v>2</v>
      </c>
      <c r="M129" s="162">
        <v>2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26">
        <v>5</v>
      </c>
      <c r="X129" s="126"/>
      <c r="Y129" s="15"/>
      <c r="Z129" s="157"/>
      <c r="AA129" s="309"/>
      <c r="AB129" s="309"/>
      <c r="AC129" s="15" t="s">
        <v>358</v>
      </c>
      <c r="AD129" s="157">
        <v>1</v>
      </c>
      <c r="AE129" s="15" t="s">
        <v>36</v>
      </c>
      <c r="AF129" s="38" t="s">
        <v>81</v>
      </c>
      <c r="AG129" s="114"/>
    </row>
    <row r="130" spans="1:33" ht="32.4" x14ac:dyDescent="0.4">
      <c r="A130" s="48">
        <v>45450</v>
      </c>
      <c r="B130" s="49">
        <f t="shared" si="3"/>
        <v>45530</v>
      </c>
      <c r="C130" s="19">
        <v>45530</v>
      </c>
      <c r="D130" s="16" t="s">
        <v>619</v>
      </c>
      <c r="E130" s="69" t="s">
        <v>609</v>
      </c>
      <c r="F130" s="23">
        <v>43054</v>
      </c>
      <c r="G130" s="29" t="s">
        <v>251</v>
      </c>
      <c r="H130" s="161" t="s">
        <v>245</v>
      </c>
      <c r="I130" s="42"/>
      <c r="J130" s="42"/>
      <c r="K130" s="42"/>
      <c r="L130" s="15"/>
      <c r="M130" s="15"/>
      <c r="N130" s="15"/>
      <c r="O130" s="172" t="s">
        <v>487</v>
      </c>
      <c r="P130" s="172">
        <v>4</v>
      </c>
      <c r="Q130" s="15"/>
      <c r="R130" s="173">
        <v>3</v>
      </c>
      <c r="S130" s="15"/>
      <c r="T130" s="15"/>
      <c r="U130" s="15"/>
      <c r="V130" s="15"/>
      <c r="W130" s="15">
        <v>5</v>
      </c>
      <c r="X130" s="15"/>
      <c r="Y130" s="15"/>
      <c r="Z130" s="159"/>
      <c r="AA130" s="15" t="s">
        <v>580</v>
      </c>
      <c r="AB130" s="159">
        <v>0.3</v>
      </c>
      <c r="AC130" s="15" t="s">
        <v>361</v>
      </c>
      <c r="AD130" s="159">
        <v>0.7</v>
      </c>
      <c r="AE130" s="15" t="s">
        <v>36</v>
      </c>
      <c r="AF130" s="208" t="s">
        <v>81</v>
      </c>
      <c r="AG130" s="212"/>
    </row>
    <row r="131" spans="1:33" s="4" customFormat="1" x14ac:dyDescent="0.4">
      <c r="A131" s="78"/>
      <c r="B131" s="79">
        <f t="shared" si="3"/>
        <v>45531</v>
      </c>
      <c r="C131" s="72">
        <v>45531</v>
      </c>
      <c r="D131" s="80">
        <v>0</v>
      </c>
      <c r="E131" s="80"/>
      <c r="F131" s="107"/>
      <c r="G131" s="109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78"/>
      <c r="X131" s="178"/>
      <c r="Y131" s="110"/>
      <c r="Z131" s="179"/>
      <c r="AA131" s="178"/>
      <c r="AB131" s="178"/>
      <c r="AC131" s="110"/>
      <c r="AD131" s="178"/>
      <c r="AE131" s="110"/>
      <c r="AF131" s="112"/>
      <c r="AG131" s="112"/>
    </row>
    <row r="132" spans="1:33" ht="81" x14ac:dyDescent="0.4">
      <c r="A132" s="48">
        <v>45450</v>
      </c>
      <c r="B132" s="49">
        <f t="shared" si="3"/>
        <v>45531</v>
      </c>
      <c r="C132" s="19">
        <v>45531</v>
      </c>
      <c r="D132" s="52" t="s">
        <v>606</v>
      </c>
      <c r="E132" s="16" t="s">
        <v>623</v>
      </c>
      <c r="F132" s="23">
        <v>46832</v>
      </c>
      <c r="G132" s="29" t="s">
        <v>282</v>
      </c>
      <c r="H132" s="161" t="s">
        <v>337</v>
      </c>
      <c r="I132" s="41">
        <v>4</v>
      </c>
      <c r="J132" s="41">
        <v>4</v>
      </c>
      <c r="K132" s="41">
        <v>4</v>
      </c>
      <c r="L132" s="162">
        <v>4</v>
      </c>
      <c r="M132" s="162">
        <v>4</v>
      </c>
      <c r="N132" s="152" t="s">
        <v>41</v>
      </c>
      <c r="O132" s="172">
        <v>2</v>
      </c>
      <c r="P132" s="172">
        <v>2</v>
      </c>
      <c r="Q132" s="173">
        <v>4</v>
      </c>
      <c r="R132" s="173">
        <v>4</v>
      </c>
      <c r="S132" s="15"/>
      <c r="T132" s="15"/>
      <c r="U132" s="15"/>
      <c r="V132" s="15"/>
      <c r="W132" s="126">
        <v>5</v>
      </c>
      <c r="X132" s="126"/>
      <c r="Y132" s="15" t="s">
        <v>330</v>
      </c>
      <c r="Z132" s="157">
        <v>0.1</v>
      </c>
      <c r="AA132" s="309"/>
      <c r="AB132" s="309"/>
      <c r="AC132" s="15" t="s">
        <v>361</v>
      </c>
      <c r="AD132" s="157">
        <v>1</v>
      </c>
      <c r="AE132" s="15" t="s">
        <v>329</v>
      </c>
      <c r="AF132" s="38" t="s">
        <v>489</v>
      </c>
      <c r="AG132" s="38"/>
    </row>
    <row r="133" spans="1:33" x14ac:dyDescent="0.4">
      <c r="A133" s="48">
        <v>45450</v>
      </c>
      <c r="B133" s="49">
        <f t="shared" si="3"/>
        <v>45531</v>
      </c>
      <c r="C133" s="19">
        <v>45531</v>
      </c>
      <c r="D133" s="16" t="s">
        <v>603</v>
      </c>
      <c r="E133" s="16" t="s">
        <v>598</v>
      </c>
      <c r="F133" s="23">
        <v>46877</v>
      </c>
      <c r="G133" s="29" t="s">
        <v>291</v>
      </c>
      <c r="H133" s="180" t="s">
        <v>268</v>
      </c>
      <c r="I133" s="305"/>
      <c r="J133" s="305"/>
      <c r="K133" s="305"/>
      <c r="L133" s="15"/>
      <c r="M133" s="15"/>
      <c r="N133" s="15"/>
      <c r="O133" s="15"/>
      <c r="P133" s="15"/>
      <c r="Q133" s="15"/>
      <c r="R133" s="15"/>
      <c r="S133" s="163" t="s">
        <v>205</v>
      </c>
      <c r="T133" s="163" t="s">
        <v>205</v>
      </c>
      <c r="U133" s="164" t="s">
        <v>66</v>
      </c>
      <c r="V133" s="160" t="s">
        <v>41</v>
      </c>
      <c r="W133" s="126">
        <v>5</v>
      </c>
      <c r="X133" s="309"/>
      <c r="Y133" s="69"/>
      <c r="Z133" s="165"/>
      <c r="AA133" s="69" t="s">
        <v>327</v>
      </c>
      <c r="AB133" s="165">
        <v>0.33</v>
      </c>
      <c r="AC133" s="69" t="s">
        <v>371</v>
      </c>
      <c r="AD133" s="157">
        <v>0.67</v>
      </c>
      <c r="AE133" s="15" t="s">
        <v>36</v>
      </c>
      <c r="AF133" s="38" t="s">
        <v>64</v>
      </c>
      <c r="AG133" s="38"/>
    </row>
    <row r="134" spans="1:33" x14ac:dyDescent="0.4">
      <c r="A134" s="78"/>
      <c r="B134" s="79">
        <f t="shared" si="3"/>
        <v>45532</v>
      </c>
      <c r="C134" s="72">
        <v>45532</v>
      </c>
      <c r="D134" s="80">
        <v>0</v>
      </c>
      <c r="E134" s="80"/>
      <c r="F134" s="107"/>
      <c r="G134" s="109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78"/>
      <c r="X134" s="178"/>
      <c r="Y134" s="110"/>
      <c r="Z134" s="179"/>
      <c r="AA134" s="178"/>
      <c r="AB134" s="178"/>
      <c r="AC134" s="110"/>
      <c r="AD134" s="178"/>
      <c r="AE134" s="110"/>
      <c r="AF134" s="112"/>
      <c r="AG134" s="112"/>
    </row>
    <row r="135" spans="1:33" ht="48.6" x14ac:dyDescent="0.4">
      <c r="A135" s="48">
        <v>45450</v>
      </c>
      <c r="B135" s="49">
        <f t="shared" si="3"/>
        <v>45532</v>
      </c>
      <c r="C135" s="19">
        <v>45532</v>
      </c>
      <c r="D135" s="16" t="s">
        <v>606</v>
      </c>
      <c r="E135" s="16" t="s">
        <v>615</v>
      </c>
      <c r="F135" s="23">
        <v>46828</v>
      </c>
      <c r="G135" s="29" t="s">
        <v>148</v>
      </c>
      <c r="H135" s="161" t="s">
        <v>146</v>
      </c>
      <c r="I135" s="41" t="s">
        <v>97</v>
      </c>
      <c r="J135" s="41" t="s">
        <v>41</v>
      </c>
      <c r="K135" s="41" t="s">
        <v>41</v>
      </c>
      <c r="L135" s="162" t="s">
        <v>41</v>
      </c>
      <c r="M135" s="162" t="s">
        <v>41</v>
      </c>
      <c r="N135" s="152">
        <v>4</v>
      </c>
      <c r="O135" s="172" t="s">
        <v>431</v>
      </c>
      <c r="P135" s="172" t="s">
        <v>431</v>
      </c>
      <c r="Q135" s="173" t="s">
        <v>41</v>
      </c>
      <c r="R135" s="173" t="s">
        <v>41</v>
      </c>
      <c r="S135" s="15"/>
      <c r="T135" s="15"/>
      <c r="U135" s="15"/>
      <c r="V135" s="15"/>
      <c r="W135" s="126">
        <v>5</v>
      </c>
      <c r="X135" s="126"/>
      <c r="Y135" s="15" t="s">
        <v>499</v>
      </c>
      <c r="Z135" s="157">
        <v>0.1333</v>
      </c>
      <c r="AA135" s="309"/>
      <c r="AB135" s="309"/>
      <c r="AC135" s="309" t="s">
        <v>361</v>
      </c>
      <c r="AD135" s="157">
        <v>1</v>
      </c>
      <c r="AE135" s="15" t="s">
        <v>36</v>
      </c>
      <c r="AF135" s="38" t="s">
        <v>149</v>
      </c>
      <c r="AG135" s="38"/>
    </row>
    <row r="136" spans="1:33" x14ac:dyDescent="0.4">
      <c r="A136" s="103"/>
      <c r="B136" s="79">
        <f t="shared" si="3"/>
        <v>45533</v>
      </c>
      <c r="C136" s="72">
        <v>45533</v>
      </c>
      <c r="D136" s="105">
        <v>0</v>
      </c>
      <c r="E136" s="105"/>
      <c r="F136" s="107"/>
      <c r="G136" s="109"/>
      <c r="H136" s="192"/>
      <c r="I136" s="192"/>
      <c r="J136" s="192"/>
      <c r="K136" s="192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78"/>
      <c r="X136" s="110"/>
      <c r="Y136" s="110"/>
      <c r="Z136" s="193"/>
      <c r="AA136" s="110"/>
      <c r="AB136" s="110"/>
      <c r="AC136" s="110"/>
      <c r="AD136" s="110"/>
      <c r="AE136" s="110"/>
      <c r="AF136" s="115"/>
      <c r="AG136" s="115"/>
    </row>
    <row r="137" spans="1:33" ht="32.4" x14ac:dyDescent="0.4">
      <c r="A137" s="48">
        <v>45450</v>
      </c>
      <c r="B137" s="49">
        <f t="shared" si="3"/>
        <v>45533</v>
      </c>
      <c r="C137" s="19">
        <v>45533</v>
      </c>
      <c r="D137" s="52" t="s">
        <v>608</v>
      </c>
      <c r="E137" s="16" t="s">
        <v>586</v>
      </c>
      <c r="F137" s="23">
        <v>44233</v>
      </c>
      <c r="G137" s="29" t="s">
        <v>259</v>
      </c>
      <c r="H137" s="161" t="s">
        <v>91</v>
      </c>
      <c r="I137" s="305"/>
      <c r="J137" s="41">
        <v>4</v>
      </c>
      <c r="K137" s="15"/>
      <c r="L137" s="15"/>
      <c r="M137" s="15"/>
      <c r="N137" s="15"/>
      <c r="O137" s="15"/>
      <c r="P137" s="15"/>
      <c r="Q137" s="15"/>
      <c r="R137" s="213">
        <v>8</v>
      </c>
      <c r="S137" s="15"/>
      <c r="T137" s="15"/>
      <c r="U137" s="15"/>
      <c r="V137" s="15"/>
      <c r="W137" s="126">
        <v>5</v>
      </c>
      <c r="X137" s="126"/>
      <c r="Y137" s="15" t="s">
        <v>351</v>
      </c>
      <c r="Z137" s="157">
        <v>0.15</v>
      </c>
      <c r="AA137" s="309"/>
      <c r="AB137" s="309"/>
      <c r="AC137" s="309" t="s">
        <v>357</v>
      </c>
      <c r="AD137" s="157">
        <v>1</v>
      </c>
      <c r="AE137" s="15" t="s">
        <v>39</v>
      </c>
      <c r="AF137" s="38" t="s">
        <v>100</v>
      </c>
      <c r="AG137" s="38"/>
    </row>
    <row r="138" spans="1:33" x14ac:dyDescent="0.4">
      <c r="A138" s="48">
        <v>45450</v>
      </c>
      <c r="B138" s="49">
        <f t="shared" ref="B138:B147" si="4">IF(C138="","",C138)</f>
        <v>45533</v>
      </c>
      <c r="C138" s="50">
        <v>45533</v>
      </c>
      <c r="D138" s="17" t="s">
        <v>605</v>
      </c>
      <c r="E138" s="16" t="s">
        <v>599</v>
      </c>
      <c r="F138" s="23">
        <v>47719</v>
      </c>
      <c r="G138" s="29" t="s">
        <v>200</v>
      </c>
      <c r="H138" s="161" t="s">
        <v>109</v>
      </c>
      <c r="I138" s="305"/>
      <c r="J138" s="305"/>
      <c r="K138" s="305"/>
      <c r="L138" s="162">
        <v>4</v>
      </c>
      <c r="M138" s="162">
        <v>4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26">
        <v>5</v>
      </c>
      <c r="X138" s="126"/>
      <c r="Y138" s="15"/>
      <c r="Z138" s="157"/>
      <c r="AA138" s="126"/>
      <c r="AB138" s="126"/>
      <c r="AC138" s="15" t="s">
        <v>361</v>
      </c>
      <c r="AD138" s="157">
        <v>1</v>
      </c>
      <c r="AE138" s="15" t="s">
        <v>119</v>
      </c>
      <c r="AF138" s="38" t="s">
        <v>40</v>
      </c>
      <c r="AG138" s="38"/>
    </row>
    <row r="139" spans="1:33" x14ac:dyDescent="0.4">
      <c r="A139" s="48">
        <v>45450</v>
      </c>
      <c r="B139" s="49">
        <f t="shared" si="4"/>
        <v>45533</v>
      </c>
      <c r="C139" s="74">
        <v>45533</v>
      </c>
      <c r="D139" s="17" t="s">
        <v>601</v>
      </c>
      <c r="E139" s="16" t="s">
        <v>599</v>
      </c>
      <c r="F139" s="20">
        <v>46910</v>
      </c>
      <c r="G139" s="32" t="s">
        <v>182</v>
      </c>
      <c r="H139" s="161" t="s">
        <v>43</v>
      </c>
      <c r="I139" s="305"/>
      <c r="J139" s="305"/>
      <c r="K139" s="305"/>
      <c r="L139" s="15"/>
      <c r="M139" s="15"/>
      <c r="N139" s="15"/>
      <c r="O139" s="15"/>
      <c r="P139" s="15"/>
      <c r="Q139" s="15"/>
      <c r="R139" s="15"/>
      <c r="S139" s="163" t="s">
        <v>79</v>
      </c>
      <c r="T139" s="163" t="s">
        <v>79</v>
      </c>
      <c r="U139" s="164" t="s">
        <v>41</v>
      </c>
      <c r="V139" s="160" t="s">
        <v>79</v>
      </c>
      <c r="W139" s="126">
        <v>5</v>
      </c>
      <c r="X139" s="126"/>
      <c r="Y139" s="153"/>
      <c r="Z139" s="174"/>
      <c r="AA139" s="153" t="s">
        <v>310</v>
      </c>
      <c r="AB139" s="174">
        <v>0.3</v>
      </c>
      <c r="AC139" s="153" t="s">
        <v>361</v>
      </c>
      <c r="AD139" s="174">
        <v>0.7</v>
      </c>
      <c r="AE139" s="15" t="s">
        <v>36</v>
      </c>
      <c r="AF139" s="38" t="s">
        <v>89</v>
      </c>
      <c r="AG139" s="39"/>
    </row>
    <row r="140" spans="1:33" x14ac:dyDescent="0.4">
      <c r="A140" s="78"/>
      <c r="B140" s="79">
        <f t="shared" si="4"/>
        <v>45534</v>
      </c>
      <c r="C140" s="72">
        <v>45534</v>
      </c>
      <c r="D140" s="80">
        <v>0</v>
      </c>
      <c r="E140" s="80"/>
      <c r="F140" s="107"/>
      <c r="G140" s="109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78"/>
      <c r="X140" s="178"/>
      <c r="Y140" s="110"/>
      <c r="Z140" s="179"/>
      <c r="AA140" s="178"/>
      <c r="AB140" s="178"/>
      <c r="AC140" s="110"/>
      <c r="AD140" s="178"/>
      <c r="AE140" s="110"/>
      <c r="AF140" s="112"/>
      <c r="AG140" s="112"/>
    </row>
    <row r="141" spans="1:33" ht="81" x14ac:dyDescent="0.4">
      <c r="A141" s="70" t="s">
        <v>579</v>
      </c>
      <c r="B141" s="49">
        <f t="shared" si="4"/>
        <v>45534</v>
      </c>
      <c r="C141" s="19">
        <v>45534</v>
      </c>
      <c r="D141" s="52" t="s">
        <v>583</v>
      </c>
      <c r="E141" s="16" t="s">
        <v>623</v>
      </c>
      <c r="F141" s="23">
        <v>42073</v>
      </c>
      <c r="G141" s="24" t="s">
        <v>408</v>
      </c>
      <c r="H141" s="161" t="s">
        <v>548</v>
      </c>
      <c r="I141" s="15"/>
      <c r="J141" s="15"/>
      <c r="K141" s="15"/>
      <c r="L141" s="162">
        <v>2</v>
      </c>
      <c r="M141" s="162">
        <v>4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26">
        <v>5</v>
      </c>
      <c r="X141" s="126"/>
      <c r="Y141" s="15" t="s">
        <v>384</v>
      </c>
      <c r="Z141" s="157">
        <v>0.1</v>
      </c>
      <c r="AA141" s="15"/>
      <c r="AB141" s="157"/>
      <c r="AC141" s="15" t="s">
        <v>361</v>
      </c>
      <c r="AD141" s="157">
        <v>1</v>
      </c>
      <c r="AE141" s="15" t="s">
        <v>346</v>
      </c>
      <c r="AF141" s="208" t="s">
        <v>63</v>
      </c>
      <c r="AG141" s="214"/>
    </row>
    <row r="142" spans="1:33" ht="81" x14ac:dyDescent="0.4">
      <c r="A142" s="70" t="s">
        <v>579</v>
      </c>
      <c r="B142" s="49">
        <f t="shared" si="4"/>
        <v>45534</v>
      </c>
      <c r="C142" s="19">
        <v>45534</v>
      </c>
      <c r="D142" s="52" t="s">
        <v>583</v>
      </c>
      <c r="E142" s="16" t="s">
        <v>623</v>
      </c>
      <c r="F142" s="23">
        <v>42073</v>
      </c>
      <c r="G142" s="24" t="s">
        <v>408</v>
      </c>
      <c r="H142" s="161" t="s">
        <v>63</v>
      </c>
      <c r="I142" s="41">
        <v>2</v>
      </c>
      <c r="J142" s="41">
        <v>2</v>
      </c>
      <c r="K142" s="41">
        <v>2</v>
      </c>
      <c r="L142" s="176"/>
      <c r="M142" s="176"/>
      <c r="N142" s="15"/>
      <c r="O142" s="15"/>
      <c r="P142" s="15"/>
      <c r="Q142" s="15"/>
      <c r="R142" s="15"/>
      <c r="S142" s="15"/>
      <c r="T142" s="15"/>
      <c r="U142" s="15"/>
      <c r="V142" s="15"/>
      <c r="W142" s="126">
        <v>5</v>
      </c>
      <c r="X142" s="126"/>
      <c r="Y142" s="177" t="s">
        <v>475</v>
      </c>
      <c r="Z142" s="157">
        <v>0.1</v>
      </c>
      <c r="AA142" s="126"/>
      <c r="AB142" s="126"/>
      <c r="AC142" s="15" t="s">
        <v>361</v>
      </c>
      <c r="AD142" s="157">
        <v>1</v>
      </c>
      <c r="AE142" s="15" t="s">
        <v>346</v>
      </c>
      <c r="AF142" s="208" t="s">
        <v>548</v>
      </c>
      <c r="AG142" s="214"/>
    </row>
    <row r="143" spans="1:33" ht="81" x14ac:dyDescent="0.4">
      <c r="A143" s="70" t="s">
        <v>579</v>
      </c>
      <c r="B143" s="49">
        <f t="shared" si="4"/>
        <v>45534</v>
      </c>
      <c r="C143" s="19">
        <v>45534</v>
      </c>
      <c r="D143" s="52" t="s">
        <v>583</v>
      </c>
      <c r="E143" s="16" t="s">
        <v>623</v>
      </c>
      <c r="F143" s="20">
        <v>42073</v>
      </c>
      <c r="G143" s="21" t="s">
        <v>409</v>
      </c>
      <c r="H143" s="161" t="s">
        <v>63</v>
      </c>
      <c r="I143" s="305"/>
      <c r="J143" s="305"/>
      <c r="K143" s="305"/>
      <c r="L143" s="15"/>
      <c r="M143" s="149"/>
      <c r="N143" s="152">
        <v>3</v>
      </c>
      <c r="O143" s="15"/>
      <c r="P143" s="15"/>
      <c r="Q143" s="15"/>
      <c r="R143" s="15"/>
      <c r="S143" s="15"/>
      <c r="T143" s="15"/>
      <c r="U143" s="15"/>
      <c r="V143" s="15"/>
      <c r="W143" s="126">
        <v>5</v>
      </c>
      <c r="X143" s="309"/>
      <c r="Y143" s="177" t="s">
        <v>475</v>
      </c>
      <c r="Z143" s="157">
        <v>0.1</v>
      </c>
      <c r="AA143" s="309"/>
      <c r="AB143" s="309"/>
      <c r="AC143" s="15" t="s">
        <v>361</v>
      </c>
      <c r="AD143" s="157">
        <v>1</v>
      </c>
      <c r="AE143" s="15" t="s">
        <v>346</v>
      </c>
      <c r="AF143" s="208" t="s">
        <v>548</v>
      </c>
      <c r="AG143" s="214"/>
    </row>
    <row r="144" spans="1:33" ht="32.4" x14ac:dyDescent="0.4">
      <c r="A144" s="48">
        <v>45450</v>
      </c>
      <c r="B144" s="49">
        <f t="shared" si="4"/>
        <v>45534</v>
      </c>
      <c r="C144" s="19">
        <v>45534</v>
      </c>
      <c r="D144" s="16" t="s">
        <v>613</v>
      </c>
      <c r="E144" s="16" t="s">
        <v>586</v>
      </c>
      <c r="F144" s="54">
        <v>46892</v>
      </c>
      <c r="G144" s="55" t="s">
        <v>264</v>
      </c>
      <c r="H144" s="161" t="s">
        <v>101</v>
      </c>
      <c r="I144" s="41" t="s">
        <v>97</v>
      </c>
      <c r="J144" s="41" t="s">
        <v>41</v>
      </c>
      <c r="K144" s="41" t="s">
        <v>450</v>
      </c>
      <c r="L144" s="162" t="s">
        <v>41</v>
      </c>
      <c r="M144" s="162" t="s">
        <v>41</v>
      </c>
      <c r="N144" s="15"/>
      <c r="O144" s="172" t="s">
        <v>437</v>
      </c>
      <c r="P144" s="172" t="s">
        <v>437</v>
      </c>
      <c r="Q144" s="173" t="s">
        <v>41</v>
      </c>
      <c r="R144" s="173" t="s">
        <v>41</v>
      </c>
      <c r="S144" s="15"/>
      <c r="T144" s="15"/>
      <c r="U144" s="15"/>
      <c r="V144" s="15"/>
      <c r="W144" s="126">
        <v>5</v>
      </c>
      <c r="X144" s="309"/>
      <c r="Y144" s="69" t="s">
        <v>577</v>
      </c>
      <c r="Z144" s="215">
        <v>0.05</v>
      </c>
      <c r="AA144" s="69" t="s">
        <v>498</v>
      </c>
      <c r="AB144" s="165">
        <v>0.5</v>
      </c>
      <c r="AC144" s="69" t="s">
        <v>358</v>
      </c>
      <c r="AD144" s="202">
        <v>0.5</v>
      </c>
      <c r="AE144" s="69" t="s">
        <v>36</v>
      </c>
      <c r="AF144" s="205" t="s">
        <v>81</v>
      </c>
      <c r="AG144" s="205"/>
    </row>
    <row r="145" spans="1:33" x14ac:dyDescent="0.4">
      <c r="A145" s="48">
        <v>45450</v>
      </c>
      <c r="B145" s="49">
        <f t="shared" si="4"/>
        <v>45534</v>
      </c>
      <c r="C145" s="19">
        <v>45534</v>
      </c>
      <c r="D145" s="16" t="s">
        <v>595</v>
      </c>
      <c r="E145" s="16" t="s">
        <v>598</v>
      </c>
      <c r="F145" s="33">
        <v>46911</v>
      </c>
      <c r="G145" s="29" t="s">
        <v>274</v>
      </c>
      <c r="H145" s="161" t="s">
        <v>272</v>
      </c>
      <c r="I145" s="42"/>
      <c r="J145" s="42"/>
      <c r="K145" s="42"/>
      <c r="L145" s="15"/>
      <c r="M145" s="15"/>
      <c r="N145" s="15"/>
      <c r="O145" s="15"/>
      <c r="P145" s="15"/>
      <c r="Q145" s="15"/>
      <c r="R145" s="15"/>
      <c r="S145" s="163" t="s">
        <v>205</v>
      </c>
      <c r="T145" s="163" t="s">
        <v>205</v>
      </c>
      <c r="U145" s="164" t="s">
        <v>41</v>
      </c>
      <c r="V145" s="15"/>
      <c r="W145" s="126">
        <v>5</v>
      </c>
      <c r="X145" s="126"/>
      <c r="Y145" s="153"/>
      <c r="Z145" s="174"/>
      <c r="AA145" s="167"/>
      <c r="AB145" s="167"/>
      <c r="AC145" s="153" t="s">
        <v>361</v>
      </c>
      <c r="AD145" s="174">
        <v>1</v>
      </c>
      <c r="AE145" s="15" t="s">
        <v>119</v>
      </c>
      <c r="AF145" s="38" t="s">
        <v>167</v>
      </c>
      <c r="AG145" s="38"/>
    </row>
    <row r="146" spans="1:33" ht="32.4" x14ac:dyDescent="0.4">
      <c r="A146" s="48">
        <v>45397</v>
      </c>
      <c r="B146" s="49">
        <f t="shared" si="4"/>
        <v>45534</v>
      </c>
      <c r="C146" s="19">
        <v>45534</v>
      </c>
      <c r="D146" s="16" t="s">
        <v>321</v>
      </c>
      <c r="E146" s="16" t="s">
        <v>321</v>
      </c>
      <c r="F146" s="28" t="s">
        <v>131</v>
      </c>
      <c r="G146" s="30" t="s">
        <v>132</v>
      </c>
      <c r="H146" s="161" t="s">
        <v>565</v>
      </c>
      <c r="I146" s="42"/>
      <c r="J146" s="42"/>
      <c r="K146" s="42"/>
      <c r="L146" s="162">
        <v>6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26">
        <v>30</v>
      </c>
      <c r="X146" s="126"/>
      <c r="Y146" s="15"/>
      <c r="Z146" s="157"/>
      <c r="AA146" s="126"/>
      <c r="AB146" s="126"/>
      <c r="AC146" s="15" t="s">
        <v>35</v>
      </c>
      <c r="AD146" s="157">
        <v>1</v>
      </c>
      <c r="AE146" s="15" t="s">
        <v>36</v>
      </c>
      <c r="AF146" s="216" t="s">
        <v>133</v>
      </c>
      <c r="AG146" s="216"/>
    </row>
    <row r="147" spans="1:33" x14ac:dyDescent="0.4">
      <c r="A147" s="48">
        <v>45397</v>
      </c>
      <c r="B147" s="49">
        <f t="shared" si="4"/>
        <v>45534</v>
      </c>
      <c r="C147" s="19">
        <v>45534</v>
      </c>
      <c r="D147" s="16" t="s">
        <v>321</v>
      </c>
      <c r="E147" s="16" t="s">
        <v>321</v>
      </c>
      <c r="F147" s="28" t="s">
        <v>131</v>
      </c>
      <c r="G147" s="30" t="s">
        <v>132</v>
      </c>
      <c r="H147" s="161" t="s">
        <v>146</v>
      </c>
      <c r="I147" s="42"/>
      <c r="J147" s="42"/>
      <c r="K147" s="42"/>
      <c r="L147" s="15"/>
      <c r="M147" s="149"/>
      <c r="N147" s="152">
        <v>6</v>
      </c>
      <c r="O147" s="15"/>
      <c r="P147" s="15"/>
      <c r="Q147" s="15"/>
      <c r="R147" s="15"/>
      <c r="S147" s="15"/>
      <c r="T147" s="15"/>
      <c r="U147" s="15"/>
      <c r="V147" s="15"/>
      <c r="W147" s="126">
        <v>30</v>
      </c>
      <c r="X147" s="126"/>
      <c r="Y147" s="15"/>
      <c r="Z147" s="157"/>
      <c r="AA147" s="126"/>
      <c r="AB147" s="126"/>
      <c r="AC147" s="15" t="s">
        <v>35</v>
      </c>
      <c r="AD147" s="157">
        <v>1</v>
      </c>
      <c r="AE147" s="15" t="s">
        <v>36</v>
      </c>
      <c r="AF147" s="39" t="s">
        <v>133</v>
      </c>
      <c r="AG147" s="39"/>
    </row>
    <row r="148" spans="1:33" x14ac:dyDescent="0.4">
      <c r="A148" s="48" t="s">
        <v>300</v>
      </c>
      <c r="B148" s="49"/>
      <c r="C148" s="19" t="s">
        <v>320</v>
      </c>
      <c r="D148" s="16" t="s">
        <v>321</v>
      </c>
      <c r="E148" s="16" t="s">
        <v>321</v>
      </c>
      <c r="F148" s="26">
        <v>47581</v>
      </c>
      <c r="G148" s="30" t="s">
        <v>236</v>
      </c>
      <c r="H148" s="161" t="s">
        <v>232</v>
      </c>
      <c r="I148" s="42"/>
      <c r="J148" s="42"/>
      <c r="K148" s="42"/>
      <c r="L148" s="211"/>
      <c r="M148" s="211"/>
      <c r="N148" s="211"/>
      <c r="O148" s="211"/>
      <c r="P148" s="211"/>
      <c r="Q148" s="211"/>
      <c r="R148" s="211"/>
      <c r="S148" s="304">
        <v>3</v>
      </c>
      <c r="T148" s="304">
        <v>3</v>
      </c>
      <c r="U148" s="211"/>
      <c r="V148" s="308"/>
      <c r="W148" s="126">
        <v>15</v>
      </c>
      <c r="X148" s="126"/>
      <c r="Y148" s="15"/>
      <c r="Z148" s="157"/>
      <c r="AA148" s="126"/>
      <c r="AB148" s="126"/>
      <c r="AC148" s="15" t="s">
        <v>108</v>
      </c>
      <c r="AD148" s="157">
        <v>1</v>
      </c>
      <c r="AE148" s="15" t="s">
        <v>36</v>
      </c>
      <c r="AF148" s="216" t="s">
        <v>36</v>
      </c>
      <c r="AG148" s="214"/>
    </row>
    <row r="149" spans="1:33" x14ac:dyDescent="0.4">
      <c r="A149" s="48"/>
      <c r="B149" s="49"/>
      <c r="C149" s="19" t="s">
        <v>320</v>
      </c>
      <c r="D149" s="16" t="s">
        <v>321</v>
      </c>
      <c r="E149" s="16" t="s">
        <v>321</v>
      </c>
      <c r="F149" s="64">
        <v>47651</v>
      </c>
      <c r="G149" s="35" t="s">
        <v>242</v>
      </c>
      <c r="H149" s="161" t="s">
        <v>241</v>
      </c>
      <c r="I149" s="42"/>
      <c r="J149" s="42"/>
      <c r="K149" s="42"/>
      <c r="L149" s="211"/>
      <c r="M149" s="211"/>
      <c r="N149" s="211"/>
      <c r="O149" s="211"/>
      <c r="P149" s="211"/>
      <c r="Q149" s="211"/>
      <c r="R149" s="211"/>
      <c r="S149" s="211"/>
      <c r="T149" s="211"/>
      <c r="U149" s="308"/>
      <c r="V149" s="136" t="s">
        <v>239</v>
      </c>
      <c r="W149" s="126">
        <v>20</v>
      </c>
      <c r="X149" s="126"/>
      <c r="Y149" s="15"/>
      <c r="Z149" s="157"/>
      <c r="AA149" s="126"/>
      <c r="AB149" s="126"/>
      <c r="AC149" s="15" t="s">
        <v>108</v>
      </c>
      <c r="AD149" s="157">
        <v>1</v>
      </c>
      <c r="AE149" s="15" t="s">
        <v>36</v>
      </c>
      <c r="AF149" s="216" t="s">
        <v>36</v>
      </c>
      <c r="AG149" s="214"/>
    </row>
    <row r="150" spans="1:33" x14ac:dyDescent="0.4">
      <c r="A150" s="48"/>
      <c r="B150" s="49"/>
      <c r="C150" s="19" t="s">
        <v>320</v>
      </c>
      <c r="D150" s="16" t="s">
        <v>321</v>
      </c>
      <c r="E150" s="16" t="s">
        <v>321</v>
      </c>
      <c r="F150" s="26">
        <v>47571</v>
      </c>
      <c r="G150" s="30" t="s">
        <v>235</v>
      </c>
      <c r="H150" s="161" t="s">
        <v>232</v>
      </c>
      <c r="I150" s="42"/>
      <c r="J150" s="42"/>
      <c r="K150" s="42"/>
      <c r="L150" s="211"/>
      <c r="M150" s="211"/>
      <c r="N150" s="211"/>
      <c r="O150" s="211"/>
      <c r="P150" s="211"/>
      <c r="Q150" s="211"/>
      <c r="R150" s="211"/>
      <c r="S150" s="211"/>
      <c r="T150" s="211"/>
      <c r="U150" s="135" t="s">
        <v>197</v>
      </c>
      <c r="V150" s="308"/>
      <c r="W150" s="126">
        <v>5</v>
      </c>
      <c r="X150" s="126"/>
      <c r="Y150" s="15"/>
      <c r="Z150" s="157"/>
      <c r="AA150" s="126"/>
      <c r="AB150" s="126"/>
      <c r="AC150" s="15" t="s">
        <v>108</v>
      </c>
      <c r="AD150" s="157">
        <v>1</v>
      </c>
      <c r="AE150" s="15" t="s">
        <v>36</v>
      </c>
      <c r="AF150" s="216" t="s">
        <v>36</v>
      </c>
      <c r="AG150" s="214"/>
    </row>
    <row r="151" spans="1:33" x14ac:dyDescent="0.4">
      <c r="A151" s="48"/>
      <c r="B151" s="49"/>
      <c r="C151" s="19" t="s">
        <v>320</v>
      </c>
      <c r="D151" s="16" t="s">
        <v>321</v>
      </c>
      <c r="E151" s="16" t="s">
        <v>321</v>
      </c>
      <c r="F151" s="26">
        <v>47652</v>
      </c>
      <c r="G151" s="30" t="s">
        <v>480</v>
      </c>
      <c r="H151" s="161" t="s">
        <v>232</v>
      </c>
      <c r="I151" s="42"/>
      <c r="J151" s="42"/>
      <c r="K151" s="42"/>
      <c r="L151" s="211"/>
      <c r="M151" s="211"/>
      <c r="N151" s="211"/>
      <c r="O151" s="211"/>
      <c r="P151" s="211"/>
      <c r="Q151" s="211"/>
      <c r="R151" s="211"/>
      <c r="S151" s="211" t="s">
        <v>300</v>
      </c>
      <c r="T151" s="211"/>
      <c r="U151" s="135" t="s">
        <v>197</v>
      </c>
      <c r="V151" s="15"/>
      <c r="W151" s="126">
        <v>15</v>
      </c>
      <c r="X151" s="126"/>
      <c r="Y151" s="15"/>
      <c r="Z151" s="157"/>
      <c r="AA151" s="126"/>
      <c r="AB151" s="126"/>
      <c r="AC151" s="15" t="s">
        <v>108</v>
      </c>
      <c r="AD151" s="157">
        <v>1</v>
      </c>
      <c r="AE151" s="15" t="s">
        <v>36</v>
      </c>
      <c r="AF151" s="216" t="s">
        <v>36</v>
      </c>
      <c r="AG151" s="214"/>
    </row>
    <row r="152" spans="1:33" x14ac:dyDescent="0.4">
      <c r="A152" s="48"/>
      <c r="B152" s="49"/>
      <c r="C152" s="19" t="s">
        <v>320</v>
      </c>
      <c r="D152" s="16" t="s">
        <v>321</v>
      </c>
      <c r="E152" s="16" t="s">
        <v>321</v>
      </c>
      <c r="F152" s="26">
        <v>47621</v>
      </c>
      <c r="G152" s="30" t="s">
        <v>238</v>
      </c>
      <c r="H152" s="161" t="s">
        <v>232</v>
      </c>
      <c r="I152" s="42"/>
      <c r="J152" s="42"/>
      <c r="K152" s="42"/>
      <c r="L152" s="211"/>
      <c r="M152" s="211"/>
      <c r="N152" s="211"/>
      <c r="O152" s="211"/>
      <c r="P152" s="211"/>
      <c r="Q152" s="211"/>
      <c r="R152" s="211"/>
      <c r="S152" s="308"/>
      <c r="T152" s="308"/>
      <c r="U152" s="135" t="s">
        <v>239</v>
      </c>
      <c r="V152" s="211"/>
      <c r="W152" s="126">
        <v>10</v>
      </c>
      <c r="X152" s="126"/>
      <c r="Y152" s="15"/>
      <c r="Z152" s="157"/>
      <c r="AA152" s="126"/>
      <c r="AB152" s="126"/>
      <c r="AC152" s="15" t="s">
        <v>108</v>
      </c>
      <c r="AD152" s="157">
        <v>1</v>
      </c>
      <c r="AE152" s="15" t="s">
        <v>36</v>
      </c>
      <c r="AF152" s="216" t="s">
        <v>36</v>
      </c>
      <c r="AG152" s="214"/>
    </row>
    <row r="153" spans="1:33" x14ac:dyDescent="0.4">
      <c r="A153" s="48"/>
      <c r="B153" s="49"/>
      <c r="C153" s="19" t="s">
        <v>320</v>
      </c>
      <c r="D153" s="16" t="s">
        <v>321</v>
      </c>
      <c r="E153" s="16" t="s">
        <v>321</v>
      </c>
      <c r="F153" s="26">
        <v>47591</v>
      </c>
      <c r="G153" s="30" t="s">
        <v>237</v>
      </c>
      <c r="H153" s="161" t="s">
        <v>232</v>
      </c>
      <c r="I153" s="42"/>
      <c r="J153" s="42"/>
      <c r="K153" s="42"/>
      <c r="L153" s="211"/>
      <c r="M153" s="211"/>
      <c r="N153" s="211"/>
      <c r="O153" s="211"/>
      <c r="P153" s="211"/>
      <c r="Q153" s="211"/>
      <c r="R153" s="211"/>
      <c r="S153" s="304">
        <v>3</v>
      </c>
      <c r="T153" s="304">
        <v>3</v>
      </c>
      <c r="U153" s="211"/>
      <c r="V153" s="308"/>
      <c r="W153" s="126">
        <v>5</v>
      </c>
      <c r="X153" s="126"/>
      <c r="Y153" s="15"/>
      <c r="Z153" s="157"/>
      <c r="AA153" s="126"/>
      <c r="AB153" s="126"/>
      <c r="AC153" s="15" t="s">
        <v>35</v>
      </c>
      <c r="AD153" s="157">
        <v>1</v>
      </c>
      <c r="AE153" s="15" t="s">
        <v>36</v>
      </c>
      <c r="AF153" s="216" t="s">
        <v>36</v>
      </c>
      <c r="AG153" s="214"/>
    </row>
    <row r="154" spans="1:33" s="4" customFormat="1" x14ac:dyDescent="0.4">
      <c r="A154" s="48"/>
      <c r="B154" s="49"/>
      <c r="C154" s="19" t="s">
        <v>320</v>
      </c>
      <c r="D154" s="16" t="s">
        <v>321</v>
      </c>
      <c r="E154" s="16" t="s">
        <v>321</v>
      </c>
      <c r="F154" s="64">
        <v>47591</v>
      </c>
      <c r="G154" s="35" t="s">
        <v>237</v>
      </c>
      <c r="H154" s="161" t="s">
        <v>241</v>
      </c>
      <c r="I154" s="42"/>
      <c r="J154" s="42"/>
      <c r="K154" s="305"/>
      <c r="L154" s="308"/>
      <c r="M154" s="308"/>
      <c r="N154" s="308"/>
      <c r="O154" s="308"/>
      <c r="P154" s="308"/>
      <c r="Q154" s="308"/>
      <c r="R154" s="308"/>
      <c r="S154" s="308"/>
      <c r="T154" s="308"/>
      <c r="U154" s="308"/>
      <c r="V154" s="136" t="s">
        <v>239</v>
      </c>
      <c r="W154" s="126">
        <v>5</v>
      </c>
      <c r="X154" s="126"/>
      <c r="Y154" s="15"/>
      <c r="Z154" s="157"/>
      <c r="AA154" s="309"/>
      <c r="AB154" s="309"/>
      <c r="AC154" s="15" t="s">
        <v>35</v>
      </c>
      <c r="AD154" s="157">
        <v>1</v>
      </c>
      <c r="AE154" s="15" t="s">
        <v>36</v>
      </c>
      <c r="AF154" s="216" t="s">
        <v>36</v>
      </c>
      <c r="AG154" s="214"/>
    </row>
    <row r="155" spans="1:33" s="5" customFormat="1" x14ac:dyDescent="0.4">
      <c r="A155" s="48"/>
      <c r="B155" s="49"/>
      <c r="C155" s="19" t="s">
        <v>320</v>
      </c>
      <c r="D155" s="16" t="s">
        <v>321</v>
      </c>
      <c r="E155" s="16" t="s">
        <v>321</v>
      </c>
      <c r="F155" s="64">
        <v>45191</v>
      </c>
      <c r="G155" s="35" t="s">
        <v>174</v>
      </c>
      <c r="H155" s="161" t="s">
        <v>232</v>
      </c>
      <c r="I155" s="42"/>
      <c r="J155" s="42"/>
      <c r="K155" s="306" t="s">
        <v>107</v>
      </c>
      <c r="L155" s="15"/>
      <c r="M155" s="15"/>
      <c r="N155" s="15"/>
      <c r="O155" s="15" t="s">
        <v>300</v>
      </c>
      <c r="P155" s="15"/>
      <c r="Q155" s="15"/>
      <c r="R155" s="15"/>
      <c r="S155" s="15"/>
      <c r="T155" s="15"/>
      <c r="U155" s="15"/>
      <c r="V155" s="15"/>
      <c r="W155" s="126">
        <v>5</v>
      </c>
      <c r="X155" s="126"/>
      <c r="Y155" s="15"/>
      <c r="Z155" s="157"/>
      <c r="AA155" s="15"/>
      <c r="AB155" s="157"/>
      <c r="AC155" s="15" t="s">
        <v>108</v>
      </c>
      <c r="AD155" s="157">
        <v>1</v>
      </c>
      <c r="AE155" s="216" t="s">
        <v>36</v>
      </c>
      <c r="AF155" s="216" t="s">
        <v>36</v>
      </c>
      <c r="AG155" s="205"/>
    </row>
    <row r="156" spans="1:33" s="7" customFormat="1" x14ac:dyDescent="0.4">
      <c r="A156" s="48"/>
      <c r="B156" s="49"/>
      <c r="C156" s="19" t="s">
        <v>320</v>
      </c>
      <c r="D156" s="16" t="s">
        <v>321</v>
      </c>
      <c r="E156" s="16" t="s">
        <v>321</v>
      </c>
      <c r="F156" s="64">
        <v>45194</v>
      </c>
      <c r="G156" s="35" t="s">
        <v>174</v>
      </c>
      <c r="H156" s="161" t="s">
        <v>232</v>
      </c>
      <c r="I156" s="42"/>
      <c r="J156" s="42"/>
      <c r="K156" s="42"/>
      <c r="L156" s="162" t="s">
        <v>233</v>
      </c>
      <c r="M156" s="308"/>
      <c r="N156" s="211"/>
      <c r="O156" s="211"/>
      <c r="P156" s="211"/>
      <c r="Q156" s="211"/>
      <c r="R156" s="211"/>
      <c r="S156" s="211"/>
      <c r="T156" s="211"/>
      <c r="U156" s="211"/>
      <c r="V156" s="211"/>
      <c r="W156" s="126">
        <v>5</v>
      </c>
      <c r="X156" s="126"/>
      <c r="Y156" s="15"/>
      <c r="Z156" s="157"/>
      <c r="AA156" s="126"/>
      <c r="AB156" s="126"/>
      <c r="AC156" s="15" t="s">
        <v>108</v>
      </c>
      <c r="AD156" s="157">
        <v>1</v>
      </c>
      <c r="AE156" s="15" t="s">
        <v>36</v>
      </c>
      <c r="AF156" s="216" t="s">
        <v>36</v>
      </c>
      <c r="AG156" s="214"/>
    </row>
    <row r="157" spans="1:33" s="4" customFormat="1" x14ac:dyDescent="0.4">
      <c r="A157" s="48"/>
      <c r="B157" s="49"/>
      <c r="C157" s="19" t="s">
        <v>320</v>
      </c>
      <c r="D157" s="16" t="s">
        <v>321</v>
      </c>
      <c r="E157" s="16" t="s">
        <v>321</v>
      </c>
      <c r="F157" s="64">
        <v>45194</v>
      </c>
      <c r="G157" s="35" t="s">
        <v>174</v>
      </c>
      <c r="H157" s="161" t="s">
        <v>232</v>
      </c>
      <c r="I157" s="305"/>
      <c r="J157" s="305"/>
      <c r="K157" s="305"/>
      <c r="L157" s="211"/>
      <c r="M157" s="162">
        <v>8</v>
      </c>
      <c r="N157" s="211"/>
      <c r="O157" s="211"/>
      <c r="P157" s="211"/>
      <c r="Q157" s="211"/>
      <c r="R157" s="211"/>
      <c r="S157" s="211"/>
      <c r="T157" s="211"/>
      <c r="U157" s="211"/>
      <c r="V157" s="211"/>
      <c r="W157" s="126">
        <v>7.5</v>
      </c>
      <c r="X157" s="126"/>
      <c r="Y157" s="15"/>
      <c r="Z157" s="157"/>
      <c r="AA157" s="126"/>
      <c r="AB157" s="126"/>
      <c r="AC157" s="15" t="s">
        <v>108</v>
      </c>
      <c r="AD157" s="157">
        <v>1</v>
      </c>
      <c r="AE157" s="15" t="s">
        <v>36</v>
      </c>
      <c r="AF157" s="216" t="s">
        <v>36</v>
      </c>
      <c r="AG157" s="214"/>
    </row>
    <row r="158" spans="1:33" s="4" customFormat="1" x14ac:dyDescent="0.4">
      <c r="A158" s="48"/>
      <c r="B158" s="49"/>
      <c r="C158" s="19" t="s">
        <v>320</v>
      </c>
      <c r="D158" s="16" t="s">
        <v>321</v>
      </c>
      <c r="E158" s="16" t="s">
        <v>321</v>
      </c>
      <c r="F158" s="64">
        <v>46193</v>
      </c>
      <c r="G158" s="35" t="s">
        <v>174</v>
      </c>
      <c r="H158" s="161" t="s">
        <v>232</v>
      </c>
      <c r="I158" s="306" t="s">
        <v>233</v>
      </c>
      <c r="J158" s="306" t="s">
        <v>233</v>
      </c>
      <c r="K158" s="149"/>
      <c r="L158" s="308"/>
      <c r="M158" s="308"/>
      <c r="N158" s="211"/>
      <c r="O158" s="308"/>
      <c r="P158" s="308"/>
      <c r="Q158" s="308"/>
      <c r="R158" s="308"/>
      <c r="S158" s="308"/>
      <c r="T158" s="308"/>
      <c r="U158" s="211"/>
      <c r="V158" s="211"/>
      <c r="W158" s="126" t="s">
        <v>234</v>
      </c>
      <c r="X158" s="126"/>
      <c r="Y158" s="15"/>
      <c r="Z158" s="157"/>
      <c r="AA158" s="126"/>
      <c r="AB158" s="126"/>
      <c r="AC158" s="15" t="s">
        <v>108</v>
      </c>
      <c r="AD158" s="157">
        <v>1</v>
      </c>
      <c r="AE158" s="15" t="s">
        <v>36</v>
      </c>
      <c r="AF158" s="216" t="s">
        <v>36</v>
      </c>
      <c r="AG158" s="214"/>
    </row>
    <row r="159" spans="1:33" s="4" customFormat="1" x14ac:dyDescent="0.4">
      <c r="A159" s="48"/>
      <c r="B159" s="49"/>
      <c r="C159" s="19" t="s">
        <v>320</v>
      </c>
      <c r="D159" s="16" t="s">
        <v>321</v>
      </c>
      <c r="E159" s="16" t="s">
        <v>321</v>
      </c>
      <c r="F159" s="26">
        <v>49192</v>
      </c>
      <c r="G159" s="30" t="s">
        <v>174</v>
      </c>
      <c r="H159" s="161" t="s">
        <v>232</v>
      </c>
      <c r="I159" s="42"/>
      <c r="J159" s="42"/>
      <c r="K159" s="42"/>
      <c r="L159" s="15"/>
      <c r="M159" s="15"/>
      <c r="N159" s="211"/>
      <c r="O159" s="132" t="s">
        <v>366</v>
      </c>
      <c r="P159" s="132" t="s">
        <v>366</v>
      </c>
      <c r="Q159" s="217">
        <v>8</v>
      </c>
      <c r="R159" s="217">
        <v>8</v>
      </c>
      <c r="S159" s="149"/>
      <c r="T159" s="149"/>
      <c r="U159" s="211"/>
      <c r="V159" s="211"/>
      <c r="W159" s="126">
        <v>7.5</v>
      </c>
      <c r="X159" s="126"/>
      <c r="Y159" s="15"/>
      <c r="Z159" s="157"/>
      <c r="AA159" s="126"/>
      <c r="AB159" s="126"/>
      <c r="AC159" s="15" t="s">
        <v>108</v>
      </c>
      <c r="AD159" s="157">
        <v>1</v>
      </c>
      <c r="AE159" s="15" t="s">
        <v>36</v>
      </c>
      <c r="AF159" s="216" t="s">
        <v>36</v>
      </c>
      <c r="AG159" s="214"/>
    </row>
    <row r="160" spans="1:33" s="4" customFormat="1" x14ac:dyDescent="0.4">
      <c r="A160" s="48"/>
      <c r="B160" s="49"/>
      <c r="C160" s="19" t="s">
        <v>320</v>
      </c>
      <c r="D160" s="16" t="s">
        <v>321</v>
      </c>
      <c r="E160" s="16" t="s">
        <v>321</v>
      </c>
      <c r="F160" s="26">
        <v>49193</v>
      </c>
      <c r="G160" s="30" t="s">
        <v>174</v>
      </c>
      <c r="H160" s="161" t="s">
        <v>232</v>
      </c>
      <c r="I160" s="42"/>
      <c r="J160" s="42"/>
      <c r="K160" s="42"/>
      <c r="L160" s="15"/>
      <c r="M160" s="15"/>
      <c r="N160" s="211"/>
      <c r="O160" s="132" t="s">
        <v>426</v>
      </c>
      <c r="P160" s="132" t="s">
        <v>426</v>
      </c>
      <c r="Q160" s="217">
        <v>9</v>
      </c>
      <c r="R160" s="217">
        <v>9</v>
      </c>
      <c r="S160" s="149"/>
      <c r="T160" s="149"/>
      <c r="U160" s="211"/>
      <c r="V160" s="211"/>
      <c r="W160" s="126">
        <v>7.5</v>
      </c>
      <c r="X160" s="126"/>
      <c r="Y160" s="15"/>
      <c r="Z160" s="157"/>
      <c r="AA160" s="126"/>
      <c r="AB160" s="126"/>
      <c r="AC160" s="15" t="s">
        <v>108</v>
      </c>
      <c r="AD160" s="157">
        <v>1</v>
      </c>
      <c r="AE160" s="15" t="s">
        <v>36</v>
      </c>
      <c r="AF160" s="216" t="s">
        <v>36</v>
      </c>
      <c r="AG160" s="214"/>
    </row>
    <row r="161" spans="1:33" s="4" customFormat="1" x14ac:dyDescent="0.4">
      <c r="A161" s="48"/>
      <c r="B161" s="49"/>
      <c r="C161" s="19" t="s">
        <v>320</v>
      </c>
      <c r="D161" s="16" t="s">
        <v>321</v>
      </c>
      <c r="E161" s="16" t="s">
        <v>321</v>
      </c>
      <c r="F161" s="26">
        <v>49194</v>
      </c>
      <c r="G161" s="30" t="s">
        <v>174</v>
      </c>
      <c r="H161" s="161" t="s">
        <v>232</v>
      </c>
      <c r="I161" s="42"/>
      <c r="J161" s="42"/>
      <c r="K161" s="42"/>
      <c r="L161" s="15"/>
      <c r="M161" s="15"/>
      <c r="N161" s="308"/>
      <c r="O161" s="307" t="s">
        <v>426</v>
      </c>
      <c r="P161" s="307" t="s">
        <v>426</v>
      </c>
      <c r="Q161" s="218" t="s">
        <v>240</v>
      </c>
      <c r="R161" s="218" t="s">
        <v>240</v>
      </c>
      <c r="S161" s="211"/>
      <c r="T161" s="211"/>
      <c r="U161" s="211"/>
      <c r="V161" s="211"/>
      <c r="W161" s="126">
        <v>15</v>
      </c>
      <c r="X161" s="126"/>
      <c r="Y161" s="15"/>
      <c r="Z161" s="157"/>
      <c r="AA161" s="126"/>
      <c r="AB161" s="126"/>
      <c r="AC161" s="15" t="s">
        <v>108</v>
      </c>
      <c r="AD161" s="157">
        <v>1</v>
      </c>
      <c r="AE161" s="15" t="s">
        <v>36</v>
      </c>
      <c r="AF161" s="216" t="s">
        <v>36</v>
      </c>
      <c r="AG161" s="214"/>
    </row>
    <row r="162" spans="1:33" s="4" customFormat="1" x14ac:dyDescent="0.4">
      <c r="A162" s="48"/>
      <c r="B162" s="49"/>
      <c r="C162" s="19" t="s">
        <v>320</v>
      </c>
      <c r="D162" s="16" t="s">
        <v>321</v>
      </c>
      <c r="E162" s="16" t="s">
        <v>321</v>
      </c>
      <c r="F162" s="26">
        <v>46199</v>
      </c>
      <c r="G162" s="30" t="s">
        <v>174</v>
      </c>
      <c r="H162" s="161" t="s">
        <v>241</v>
      </c>
      <c r="I162" s="42"/>
      <c r="J162" s="42"/>
      <c r="K162" s="42"/>
      <c r="L162" s="211"/>
      <c r="M162" s="211"/>
      <c r="N162" s="131" t="s">
        <v>233</v>
      </c>
      <c r="O162" s="211"/>
      <c r="P162" s="211"/>
      <c r="Q162" s="211"/>
      <c r="R162" s="211"/>
      <c r="S162" s="211"/>
      <c r="T162" s="211"/>
      <c r="U162" s="308"/>
      <c r="V162" s="211"/>
      <c r="W162" s="126">
        <v>15</v>
      </c>
      <c r="X162" s="126"/>
      <c r="Y162" s="15"/>
      <c r="Z162" s="157"/>
      <c r="AA162" s="126"/>
      <c r="AB162" s="126"/>
      <c r="AC162" s="15" t="s">
        <v>108</v>
      </c>
      <c r="AD162" s="157">
        <v>1</v>
      </c>
      <c r="AE162" s="15" t="s">
        <v>36</v>
      </c>
      <c r="AF162" s="216" t="s">
        <v>36</v>
      </c>
      <c r="AG162" s="214"/>
    </row>
    <row r="163" spans="1:33" s="4" customFormat="1" x14ac:dyDescent="0.4">
      <c r="A163" s="48"/>
      <c r="B163" s="49"/>
      <c r="C163" s="19" t="s">
        <v>320</v>
      </c>
      <c r="D163" s="16" t="s">
        <v>321</v>
      </c>
      <c r="E163" s="16" t="s">
        <v>321</v>
      </c>
      <c r="F163" s="23">
        <v>47643</v>
      </c>
      <c r="G163" s="24" t="s">
        <v>243</v>
      </c>
      <c r="H163" s="161" t="s">
        <v>512</v>
      </c>
      <c r="I163" s="42"/>
      <c r="J163" s="42"/>
      <c r="K163" s="42"/>
      <c r="L163" s="308"/>
      <c r="M163" s="308"/>
      <c r="N163" s="308"/>
      <c r="O163" s="308"/>
      <c r="P163" s="308"/>
      <c r="Q163" s="308"/>
      <c r="R163" s="308"/>
      <c r="S163" s="308"/>
      <c r="T163" s="308"/>
      <c r="U163" s="135" t="s">
        <v>197</v>
      </c>
      <c r="V163" s="308"/>
      <c r="W163" s="126">
        <v>3</v>
      </c>
      <c r="X163" s="126"/>
      <c r="Y163" s="15"/>
      <c r="Z163" s="157"/>
      <c r="AA163" s="309"/>
      <c r="AB163" s="309"/>
      <c r="AC163" s="15" t="s">
        <v>386</v>
      </c>
      <c r="AD163" s="157">
        <v>1</v>
      </c>
      <c r="AE163" s="15" t="s">
        <v>36</v>
      </c>
      <c r="AF163" s="208" t="s">
        <v>40</v>
      </c>
      <c r="AG163" s="205"/>
    </row>
    <row r="164" spans="1:33" s="4" customFormat="1" x14ac:dyDescent="0.4">
      <c r="A164" s="48">
        <v>45450</v>
      </c>
      <c r="B164" s="49" t="str">
        <f t="shared" ref="B164:B170" si="5">IF(C164="","",C164)</f>
        <v/>
      </c>
      <c r="C164" s="19"/>
      <c r="D164" s="16" t="s">
        <v>321</v>
      </c>
      <c r="E164" s="16" t="s">
        <v>321</v>
      </c>
      <c r="F164" s="20">
        <v>47614</v>
      </c>
      <c r="G164" s="32" t="s">
        <v>111</v>
      </c>
      <c r="H164" s="161" t="s">
        <v>40</v>
      </c>
      <c r="I164" s="305"/>
      <c r="J164" s="305"/>
      <c r="K164" s="305"/>
      <c r="L164" s="15"/>
      <c r="M164" s="15"/>
      <c r="N164" s="15"/>
      <c r="O164" s="15"/>
      <c r="P164" s="15"/>
      <c r="Q164" s="15"/>
      <c r="R164" s="15"/>
      <c r="S164" s="15"/>
      <c r="T164" s="15"/>
      <c r="U164" s="164" t="s">
        <v>112</v>
      </c>
      <c r="V164" s="15"/>
      <c r="W164" s="126">
        <v>5</v>
      </c>
      <c r="X164" s="126"/>
      <c r="Y164" s="153"/>
      <c r="Z164" s="174"/>
      <c r="AA164" s="153" t="s">
        <v>113</v>
      </c>
      <c r="AB164" s="174">
        <v>0.2</v>
      </c>
      <c r="AC164" s="153" t="s">
        <v>59</v>
      </c>
      <c r="AD164" s="174">
        <v>0.8</v>
      </c>
      <c r="AE164" s="15" t="s">
        <v>36</v>
      </c>
      <c r="AF164" s="39" t="s">
        <v>114</v>
      </c>
      <c r="AG164" s="39"/>
    </row>
    <row r="165" spans="1:33" s="4" customFormat="1" x14ac:dyDescent="0.4">
      <c r="A165" s="48">
        <v>45450</v>
      </c>
      <c r="B165" s="49" t="str">
        <f t="shared" si="5"/>
        <v/>
      </c>
      <c r="C165" s="19"/>
      <c r="D165" s="16" t="s">
        <v>321</v>
      </c>
      <c r="E165" s="16" t="s">
        <v>321</v>
      </c>
      <c r="F165" s="33">
        <v>46901</v>
      </c>
      <c r="G165" s="29" t="s">
        <v>105</v>
      </c>
      <c r="H165" s="161" t="s">
        <v>559</v>
      </c>
      <c r="I165" s="41" t="s">
        <v>41</v>
      </c>
      <c r="J165" s="41" t="s">
        <v>41</v>
      </c>
      <c r="K165" s="41" t="s">
        <v>450</v>
      </c>
      <c r="L165" s="162" t="s">
        <v>41</v>
      </c>
      <c r="M165" s="162" t="s">
        <v>41</v>
      </c>
      <c r="N165" s="15"/>
      <c r="O165" s="172" t="s">
        <v>436</v>
      </c>
      <c r="P165" s="172" t="s">
        <v>436</v>
      </c>
      <c r="Q165" s="173" t="s">
        <v>41</v>
      </c>
      <c r="R165" s="173" t="s">
        <v>41</v>
      </c>
      <c r="S165" s="15"/>
      <c r="T165" s="15"/>
      <c r="U165" s="15"/>
      <c r="V165" s="15"/>
      <c r="W165" s="126">
        <v>5</v>
      </c>
      <c r="X165" s="126"/>
      <c r="Y165" s="15"/>
      <c r="Z165" s="157"/>
      <c r="AA165" s="126"/>
      <c r="AB165" s="309"/>
      <c r="AC165" s="15" t="s">
        <v>59</v>
      </c>
      <c r="AD165" s="157">
        <v>1</v>
      </c>
      <c r="AE165" s="15" t="s">
        <v>36</v>
      </c>
      <c r="AF165" s="216" t="s">
        <v>60</v>
      </c>
      <c r="AG165" s="214"/>
    </row>
    <row r="166" spans="1:33" x14ac:dyDescent="0.4">
      <c r="A166" s="48">
        <v>45450</v>
      </c>
      <c r="B166" s="49" t="str">
        <f t="shared" si="5"/>
        <v/>
      </c>
      <c r="C166" s="19"/>
      <c r="D166" s="16" t="s">
        <v>321</v>
      </c>
      <c r="E166" s="16" t="s">
        <v>321</v>
      </c>
      <c r="F166" s="23">
        <v>45470</v>
      </c>
      <c r="G166" s="29" t="s">
        <v>442</v>
      </c>
      <c r="H166" s="161" t="s">
        <v>548</v>
      </c>
      <c r="I166" s="15"/>
      <c r="J166" s="15"/>
      <c r="K166" s="41">
        <v>4</v>
      </c>
      <c r="L166" s="15"/>
      <c r="M166" s="15"/>
      <c r="N166" s="15"/>
      <c r="O166" s="307" t="s">
        <v>431</v>
      </c>
      <c r="P166" s="307" t="s">
        <v>431</v>
      </c>
      <c r="Q166" s="15"/>
      <c r="R166" s="15"/>
      <c r="S166" s="15"/>
      <c r="T166" s="15"/>
      <c r="U166" s="15"/>
      <c r="V166" s="15"/>
      <c r="W166" s="126">
        <v>5</v>
      </c>
      <c r="X166" s="126"/>
      <c r="Y166" s="15"/>
      <c r="Z166" s="157"/>
      <c r="AA166" s="126" t="s">
        <v>574</v>
      </c>
      <c r="AB166" s="157">
        <v>0.25</v>
      </c>
      <c r="AC166" s="69" t="s">
        <v>59</v>
      </c>
      <c r="AD166" s="202">
        <v>0.75</v>
      </c>
      <c r="AE166" s="15" t="s">
        <v>36</v>
      </c>
      <c r="AF166" s="205" t="s">
        <v>559</v>
      </c>
      <c r="AG166" s="205"/>
    </row>
    <row r="167" spans="1:33" x14ac:dyDescent="0.4">
      <c r="A167" s="48">
        <v>45450</v>
      </c>
      <c r="B167" s="49" t="str">
        <f t="shared" si="5"/>
        <v/>
      </c>
      <c r="C167" s="19"/>
      <c r="D167" s="16" t="s">
        <v>321</v>
      </c>
      <c r="E167" s="16" t="s">
        <v>321</v>
      </c>
      <c r="F167" s="20">
        <v>47641</v>
      </c>
      <c r="G167" s="37" t="s">
        <v>196</v>
      </c>
      <c r="H167" s="203" t="s">
        <v>518</v>
      </c>
      <c r="I167" s="305"/>
      <c r="J167" s="305"/>
      <c r="K167" s="305"/>
      <c r="L167" s="308"/>
      <c r="M167" s="308"/>
      <c r="N167" s="308"/>
      <c r="O167" s="308"/>
      <c r="P167" s="308"/>
      <c r="Q167" s="308"/>
      <c r="R167" s="308"/>
      <c r="S167" s="308"/>
      <c r="T167" s="308"/>
      <c r="U167" s="135" t="s">
        <v>197</v>
      </c>
      <c r="V167" s="308"/>
      <c r="W167" s="126">
        <v>5</v>
      </c>
      <c r="X167" s="126"/>
      <c r="Y167" s="15"/>
      <c r="Z167" s="157"/>
      <c r="AA167" s="126"/>
      <c r="AB167" s="126"/>
      <c r="AC167" s="15" t="s">
        <v>35</v>
      </c>
      <c r="AD167" s="157">
        <v>1</v>
      </c>
      <c r="AE167" s="15" t="s">
        <v>36</v>
      </c>
      <c r="AF167" s="38" t="s">
        <v>40</v>
      </c>
      <c r="AG167" s="38"/>
    </row>
    <row r="168" spans="1:33" s="4" customFormat="1" x14ac:dyDescent="0.4">
      <c r="A168" s="48">
        <v>45450</v>
      </c>
      <c r="B168" s="49" t="str">
        <f t="shared" si="5"/>
        <v/>
      </c>
      <c r="C168" s="19"/>
      <c r="D168" s="16" t="s">
        <v>321</v>
      </c>
      <c r="E168" s="16" t="s">
        <v>321</v>
      </c>
      <c r="F168" s="20">
        <v>46904</v>
      </c>
      <c r="G168" s="32" t="s">
        <v>520</v>
      </c>
      <c r="H168" s="180" t="s">
        <v>337</v>
      </c>
      <c r="I168" s="41" t="s">
        <v>41</v>
      </c>
      <c r="J168" s="41" t="s">
        <v>41</v>
      </c>
      <c r="K168" s="41" t="s">
        <v>41</v>
      </c>
      <c r="L168" s="162" t="s">
        <v>41</v>
      </c>
      <c r="M168" s="162" t="s">
        <v>41</v>
      </c>
      <c r="N168" s="152" t="s">
        <v>41</v>
      </c>
      <c r="O168" s="172" t="s">
        <v>41</v>
      </c>
      <c r="P168" s="172" t="s">
        <v>41</v>
      </c>
      <c r="Q168" s="173" t="s">
        <v>41</v>
      </c>
      <c r="R168" s="173" t="s">
        <v>41</v>
      </c>
      <c r="S168" s="15"/>
      <c r="T168" s="15"/>
      <c r="U168" s="15"/>
      <c r="V168" s="15"/>
      <c r="W168" s="126">
        <v>5</v>
      </c>
      <c r="X168" s="126"/>
      <c r="Y168" s="15"/>
      <c r="Z168" s="157"/>
      <c r="AA168" s="126"/>
      <c r="AB168" s="309"/>
      <c r="AC168" s="19" t="s">
        <v>528</v>
      </c>
      <c r="AD168" s="157">
        <v>1</v>
      </c>
      <c r="AE168" s="15" t="s">
        <v>36</v>
      </c>
      <c r="AF168" s="38" t="s">
        <v>253</v>
      </c>
      <c r="AG168" s="39"/>
    </row>
    <row r="169" spans="1:33" x14ac:dyDescent="0.4">
      <c r="A169" s="48">
        <v>45450</v>
      </c>
      <c r="B169" s="49" t="str">
        <f t="shared" si="5"/>
        <v/>
      </c>
      <c r="C169" s="19"/>
      <c r="D169" s="16" t="s">
        <v>321</v>
      </c>
      <c r="E169" s="16" t="s">
        <v>321</v>
      </c>
      <c r="F169" s="20">
        <v>46857</v>
      </c>
      <c r="G169" s="32" t="s">
        <v>135</v>
      </c>
      <c r="H169" s="161" t="s">
        <v>482</v>
      </c>
      <c r="I169" s="305"/>
      <c r="J169" s="305"/>
      <c r="K169" s="305"/>
      <c r="L169" s="15"/>
      <c r="M169" s="15"/>
      <c r="N169" s="15"/>
      <c r="O169" s="15"/>
      <c r="P169" s="15"/>
      <c r="Q169" s="15"/>
      <c r="R169" s="15"/>
      <c r="S169" s="163" t="s">
        <v>79</v>
      </c>
      <c r="T169" s="163" t="s">
        <v>79</v>
      </c>
      <c r="U169" s="164" t="s">
        <v>66</v>
      </c>
      <c r="V169" s="160" t="s">
        <v>79</v>
      </c>
      <c r="W169" s="309">
        <v>5</v>
      </c>
      <c r="X169" s="309"/>
      <c r="Y169" s="69" t="s">
        <v>475</v>
      </c>
      <c r="Z169" s="165">
        <v>0.1</v>
      </c>
      <c r="AA169" s="309" t="s">
        <v>136</v>
      </c>
      <c r="AB169" s="157">
        <v>1</v>
      </c>
      <c r="AC169" s="15" t="s">
        <v>36</v>
      </c>
      <c r="AD169" s="15" t="s">
        <v>36</v>
      </c>
      <c r="AE169" s="15" t="s">
        <v>36</v>
      </c>
      <c r="AF169" s="38" t="s">
        <v>337</v>
      </c>
      <c r="AG169" s="38"/>
    </row>
    <row r="170" spans="1:33" ht="32.4" x14ac:dyDescent="0.4">
      <c r="A170" s="48">
        <v>45450</v>
      </c>
      <c r="B170" s="76" t="str">
        <f t="shared" si="5"/>
        <v/>
      </c>
      <c r="C170" s="19"/>
      <c r="D170" s="16" t="s">
        <v>321</v>
      </c>
      <c r="E170" s="16" t="s">
        <v>321</v>
      </c>
      <c r="F170" s="33">
        <v>46915</v>
      </c>
      <c r="G170" s="62" t="s">
        <v>497</v>
      </c>
      <c r="H170" s="180" t="s">
        <v>210</v>
      </c>
      <c r="I170" s="17"/>
      <c r="J170" s="17"/>
      <c r="K170" s="17"/>
      <c r="L170" s="17"/>
      <c r="M170" s="17"/>
      <c r="N170" s="219"/>
      <c r="O170" s="195"/>
      <c r="P170" s="195"/>
      <c r="Q170" s="17"/>
      <c r="R170" s="17"/>
      <c r="S170" s="199" t="s">
        <v>308</v>
      </c>
      <c r="T170" s="148"/>
      <c r="U170" s="164" t="s">
        <v>41</v>
      </c>
      <c r="V170" s="160" t="s">
        <v>41</v>
      </c>
      <c r="W170" s="186">
        <v>5</v>
      </c>
      <c r="X170" s="186"/>
      <c r="Y170" s="148"/>
      <c r="Z170" s="197"/>
      <c r="AA170" s="186"/>
      <c r="AB170" s="186"/>
      <c r="AC170" s="16" t="s">
        <v>59</v>
      </c>
      <c r="AD170" s="197">
        <v>1</v>
      </c>
      <c r="AE170" s="148" t="s">
        <v>36</v>
      </c>
      <c r="AF170" s="190" t="s">
        <v>93</v>
      </c>
      <c r="AG170" s="220"/>
    </row>
    <row r="171" spans="1:33" ht="32.4" x14ac:dyDescent="0.4">
      <c r="A171" s="48">
        <v>45450</v>
      </c>
      <c r="B171" s="49"/>
      <c r="C171" s="19"/>
      <c r="D171" s="16" t="s">
        <v>321</v>
      </c>
      <c r="E171" s="16" t="s">
        <v>321</v>
      </c>
      <c r="F171" s="33">
        <v>46915</v>
      </c>
      <c r="G171" s="62" t="s">
        <v>564</v>
      </c>
      <c r="H171" s="161" t="s">
        <v>93</v>
      </c>
      <c r="I171" s="42"/>
      <c r="J171" s="42"/>
      <c r="K171" s="42"/>
      <c r="L171" s="15" t="s">
        <v>300</v>
      </c>
      <c r="M171" s="15"/>
      <c r="N171" s="15"/>
      <c r="O171" s="15"/>
      <c r="P171" s="15"/>
      <c r="Q171" s="15"/>
      <c r="R171" s="15"/>
      <c r="S171" s="163" t="s">
        <v>11</v>
      </c>
      <c r="T171" s="163" t="s">
        <v>41</v>
      </c>
      <c r="U171" s="135" t="s">
        <v>41</v>
      </c>
      <c r="V171" s="15"/>
      <c r="W171" s="126">
        <v>5</v>
      </c>
      <c r="X171" s="126"/>
      <c r="Y171" s="15"/>
      <c r="Z171" s="157"/>
      <c r="AA171" s="15"/>
      <c r="AB171" s="157"/>
      <c r="AC171" s="69" t="s">
        <v>59</v>
      </c>
      <c r="AD171" s="157">
        <v>1</v>
      </c>
      <c r="AE171" s="15" t="s">
        <v>36</v>
      </c>
      <c r="AF171" s="190" t="s">
        <v>253</v>
      </c>
      <c r="AG171" s="114"/>
    </row>
    <row r="172" spans="1:33" x14ac:dyDescent="0.4">
      <c r="A172" s="48">
        <v>45450</v>
      </c>
      <c r="B172" s="49" t="str">
        <f>IF(C172="","",C172)</f>
        <v/>
      </c>
      <c r="C172" s="19"/>
      <c r="D172" s="16" t="s">
        <v>321</v>
      </c>
      <c r="E172" s="16" t="s">
        <v>321</v>
      </c>
      <c r="F172" s="36">
        <v>46863</v>
      </c>
      <c r="G172" s="37" t="s">
        <v>262</v>
      </c>
      <c r="H172" s="69" t="s">
        <v>517</v>
      </c>
      <c r="I172" s="305"/>
      <c r="J172" s="305"/>
      <c r="K172" s="305"/>
      <c r="L172" s="15"/>
      <c r="M172" s="15"/>
      <c r="N172" s="15"/>
      <c r="O172" s="15"/>
      <c r="P172" s="15"/>
      <c r="Q172" s="15"/>
      <c r="R172" s="15"/>
      <c r="S172" s="163" t="s">
        <v>41</v>
      </c>
      <c r="T172" s="163" t="s">
        <v>12</v>
      </c>
      <c r="U172" s="15"/>
      <c r="V172" s="15"/>
      <c r="W172" s="126">
        <v>5</v>
      </c>
      <c r="X172" s="126"/>
      <c r="Y172" s="15"/>
      <c r="Z172" s="157"/>
      <c r="AA172" s="15" t="s">
        <v>527</v>
      </c>
      <c r="AB172" s="157">
        <v>0.25</v>
      </c>
      <c r="AC172" s="15" t="s">
        <v>59</v>
      </c>
      <c r="AD172" s="159">
        <v>0.75</v>
      </c>
      <c r="AE172" s="15" t="s">
        <v>36</v>
      </c>
      <c r="AF172" s="38" t="s">
        <v>100</v>
      </c>
      <c r="AG172" s="38"/>
    </row>
    <row r="173" spans="1:33" ht="32.4" x14ac:dyDescent="0.4">
      <c r="A173" s="48">
        <v>45450</v>
      </c>
      <c r="B173" s="49" t="str">
        <f>IF(C173="","",C173)</f>
        <v/>
      </c>
      <c r="C173" s="19"/>
      <c r="D173" s="16" t="s">
        <v>321</v>
      </c>
      <c r="E173" s="16" t="s">
        <v>321</v>
      </c>
      <c r="F173" s="20">
        <v>46808</v>
      </c>
      <c r="G173" s="34" t="s">
        <v>214</v>
      </c>
      <c r="H173" s="180" t="s">
        <v>448</v>
      </c>
      <c r="I173" s="41" t="s">
        <v>97</v>
      </c>
      <c r="J173" s="41" t="s">
        <v>41</v>
      </c>
      <c r="K173" s="41" t="s">
        <v>41</v>
      </c>
      <c r="L173" s="162" t="s">
        <v>41</v>
      </c>
      <c r="M173" s="162" t="s">
        <v>41</v>
      </c>
      <c r="N173" s="152" t="s">
        <v>41</v>
      </c>
      <c r="O173" s="15"/>
      <c r="P173" s="15"/>
      <c r="Q173" s="173">
        <v>7</v>
      </c>
      <c r="R173" s="173" t="s">
        <v>41</v>
      </c>
      <c r="S173" s="15"/>
      <c r="T173" s="15"/>
      <c r="U173" s="15"/>
      <c r="V173" s="15"/>
      <c r="W173" s="126">
        <v>5</v>
      </c>
      <c r="X173" s="126"/>
      <c r="Y173" s="15"/>
      <c r="Z173" s="157"/>
      <c r="AA173" s="15" t="s">
        <v>471</v>
      </c>
      <c r="AB173" s="221">
        <v>0.7</v>
      </c>
      <c r="AC173" s="15" t="s">
        <v>470</v>
      </c>
      <c r="AD173" s="157">
        <v>0.3</v>
      </c>
      <c r="AE173" s="15" t="s">
        <v>36</v>
      </c>
      <c r="AF173" s="38" t="s">
        <v>98</v>
      </c>
      <c r="AG173" s="39"/>
    </row>
    <row r="174" spans="1:33" ht="32.4" customHeight="1" x14ac:dyDescent="0.4">
      <c r="A174" s="48">
        <v>45450</v>
      </c>
      <c r="B174" s="49" t="str">
        <f>IF(C174="","",C174)</f>
        <v/>
      </c>
      <c r="C174" s="19"/>
      <c r="D174" s="16" t="s">
        <v>321</v>
      </c>
      <c r="E174" s="16" t="s">
        <v>321</v>
      </c>
      <c r="F174" s="33">
        <v>46811</v>
      </c>
      <c r="G174" s="29" t="s">
        <v>271</v>
      </c>
      <c r="H174" s="161" t="s">
        <v>272</v>
      </c>
      <c r="I174" s="41" t="s">
        <v>41</v>
      </c>
      <c r="J174" s="41" t="s">
        <v>41</v>
      </c>
      <c r="K174" s="41" t="s">
        <v>41</v>
      </c>
      <c r="L174" s="162" t="s">
        <v>41</v>
      </c>
      <c r="M174" s="162" t="s">
        <v>41</v>
      </c>
      <c r="N174" s="152" t="s">
        <v>41</v>
      </c>
      <c r="O174" s="15"/>
      <c r="P174" s="15"/>
      <c r="Q174" s="173" t="s">
        <v>41</v>
      </c>
      <c r="R174" s="173" t="s">
        <v>41</v>
      </c>
      <c r="S174" s="15"/>
      <c r="T174" s="15"/>
      <c r="U174" s="15"/>
      <c r="V174" s="15"/>
      <c r="W174" s="126">
        <v>5</v>
      </c>
      <c r="X174" s="126"/>
      <c r="Y174" s="69"/>
      <c r="Z174" s="165"/>
      <c r="AA174" s="166"/>
      <c r="AB174" s="166"/>
      <c r="AC174" s="69" t="s">
        <v>59</v>
      </c>
      <c r="AD174" s="157">
        <v>1</v>
      </c>
      <c r="AE174" s="15" t="s">
        <v>119</v>
      </c>
      <c r="AF174" s="201" t="s">
        <v>336</v>
      </c>
      <c r="AG174" s="220"/>
    </row>
    <row r="175" spans="1:33" x14ac:dyDescent="0.4">
      <c r="A175" s="48">
        <v>45450</v>
      </c>
      <c r="B175" s="49" t="str">
        <f>IF(C175="","",C175)</f>
        <v/>
      </c>
      <c r="C175" s="19"/>
      <c r="D175" s="16" t="s">
        <v>321</v>
      </c>
      <c r="E175" s="16" t="s">
        <v>321</v>
      </c>
      <c r="F175" s="23">
        <v>46843</v>
      </c>
      <c r="G175" s="29" t="s">
        <v>195</v>
      </c>
      <c r="H175" s="161" t="s">
        <v>63</v>
      </c>
      <c r="I175" s="41" t="s">
        <v>41</v>
      </c>
      <c r="J175" s="41" t="s">
        <v>41</v>
      </c>
      <c r="K175" s="41" t="s">
        <v>450</v>
      </c>
      <c r="L175" s="162" t="s">
        <v>41</v>
      </c>
      <c r="M175" s="162" t="s">
        <v>41</v>
      </c>
      <c r="N175" s="152" t="s">
        <v>41</v>
      </c>
      <c r="O175" s="172" t="s">
        <v>41</v>
      </c>
      <c r="P175" s="172" t="s">
        <v>41</v>
      </c>
      <c r="Q175" s="15"/>
      <c r="R175" s="15"/>
      <c r="S175" s="15"/>
      <c r="T175" s="15"/>
      <c r="U175" s="15"/>
      <c r="V175" s="15"/>
      <c r="W175" s="126">
        <v>5</v>
      </c>
      <c r="X175" s="126"/>
      <c r="Y175" s="15"/>
      <c r="Z175" s="157"/>
      <c r="AA175" s="15" t="s">
        <v>467</v>
      </c>
      <c r="AB175" s="157">
        <v>0.3</v>
      </c>
      <c r="AC175" s="15" t="s">
        <v>59</v>
      </c>
      <c r="AD175" s="157">
        <v>0.7</v>
      </c>
      <c r="AE175" s="15" t="s">
        <v>36</v>
      </c>
      <c r="AF175" s="38" t="s">
        <v>387</v>
      </c>
      <c r="AG175" s="38"/>
    </row>
    <row r="176" spans="1:33" x14ac:dyDescent="0.4">
      <c r="A176" s="48">
        <v>45450</v>
      </c>
      <c r="B176" s="49"/>
      <c r="C176" s="53"/>
      <c r="D176" s="16" t="s">
        <v>321</v>
      </c>
      <c r="E176" s="16" t="s">
        <v>321</v>
      </c>
      <c r="F176" s="54">
        <v>44270</v>
      </c>
      <c r="G176" s="55" t="s">
        <v>446</v>
      </c>
      <c r="H176" s="161" t="s">
        <v>559</v>
      </c>
      <c r="I176" s="305"/>
      <c r="J176" s="305"/>
      <c r="K176" s="41">
        <v>4</v>
      </c>
      <c r="L176" s="305"/>
      <c r="M176" s="305"/>
      <c r="N176" s="305"/>
      <c r="O176" s="305"/>
      <c r="P176" s="305"/>
      <c r="Q176" s="305"/>
      <c r="R176" s="305"/>
      <c r="S176" s="15"/>
      <c r="T176" s="15"/>
      <c r="U176" s="15"/>
      <c r="V176" s="15"/>
      <c r="W176" s="126">
        <v>5</v>
      </c>
      <c r="X176" s="126"/>
      <c r="Y176" s="15"/>
      <c r="Z176" s="157"/>
      <c r="AA176" s="153" t="s">
        <v>310</v>
      </c>
      <c r="AB176" s="157">
        <v>0.2</v>
      </c>
      <c r="AC176" s="15" t="s">
        <v>59</v>
      </c>
      <c r="AD176" s="202">
        <v>0.8</v>
      </c>
      <c r="AE176" s="69" t="s">
        <v>36</v>
      </c>
      <c r="AF176" s="208" t="s">
        <v>101</v>
      </c>
      <c r="AG176" s="205"/>
    </row>
    <row r="177" spans="1:33" x14ac:dyDescent="0.4">
      <c r="A177" s="48">
        <v>45450</v>
      </c>
      <c r="B177" s="49" t="str">
        <f>IF(C177="","",C177)</f>
        <v/>
      </c>
      <c r="C177" s="19"/>
      <c r="D177" s="16" t="s">
        <v>321</v>
      </c>
      <c r="E177" s="16" t="s">
        <v>321</v>
      </c>
      <c r="F177" s="36">
        <v>43460</v>
      </c>
      <c r="G177" s="32" t="s">
        <v>441</v>
      </c>
      <c r="H177" s="69" t="s">
        <v>516</v>
      </c>
      <c r="I177" s="15"/>
      <c r="J177" s="15"/>
      <c r="K177" s="41">
        <v>3</v>
      </c>
      <c r="L177" s="15" t="s">
        <v>300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26">
        <v>5</v>
      </c>
      <c r="X177" s="126"/>
      <c r="Y177" s="69" t="s">
        <v>475</v>
      </c>
      <c r="Z177" s="165">
        <v>0.16669999999999999</v>
      </c>
      <c r="AA177" s="166"/>
      <c r="AB177" s="166"/>
      <c r="AC177" s="69" t="s">
        <v>59</v>
      </c>
      <c r="AD177" s="165">
        <v>1</v>
      </c>
      <c r="AE177" s="69" t="s">
        <v>36</v>
      </c>
      <c r="AF177" s="38" t="s">
        <v>185</v>
      </c>
      <c r="AG177" s="38"/>
    </row>
    <row r="178" spans="1:33" s="4" customFormat="1" x14ac:dyDescent="0.4">
      <c r="A178" s="48">
        <v>45450</v>
      </c>
      <c r="B178" s="49" t="str">
        <f>IF(C178="","",C178)</f>
        <v/>
      </c>
      <c r="C178" s="19"/>
      <c r="D178" s="16" t="s">
        <v>321</v>
      </c>
      <c r="E178" s="16" t="s">
        <v>321</v>
      </c>
      <c r="F178" s="23">
        <v>44381</v>
      </c>
      <c r="G178" s="29" t="s">
        <v>74</v>
      </c>
      <c r="H178" s="156" t="s">
        <v>75</v>
      </c>
      <c r="I178" s="82"/>
      <c r="J178" s="82"/>
      <c r="K178" s="82"/>
      <c r="L178" s="15"/>
      <c r="M178" s="15"/>
      <c r="N178" s="152">
        <v>4</v>
      </c>
      <c r="O178" s="15"/>
      <c r="P178" s="15"/>
      <c r="Q178" s="15"/>
      <c r="R178" s="15"/>
      <c r="S178" s="15"/>
      <c r="T178" s="15"/>
      <c r="U178" s="15"/>
      <c r="V178" s="15"/>
      <c r="W178" s="126">
        <v>5</v>
      </c>
      <c r="X178" s="126"/>
      <c r="Y178" s="167"/>
      <c r="Z178" s="174"/>
      <c r="AA178" s="167" t="s">
        <v>381</v>
      </c>
      <c r="AB178" s="174">
        <v>1</v>
      </c>
      <c r="AC178" s="153" t="s">
        <v>36</v>
      </c>
      <c r="AD178" s="153" t="s">
        <v>36</v>
      </c>
      <c r="AE178" s="15" t="s">
        <v>36</v>
      </c>
      <c r="AF178" s="83" t="s">
        <v>76</v>
      </c>
      <c r="AG178" s="83"/>
    </row>
    <row r="179" spans="1:33" x14ac:dyDescent="0.4">
      <c r="A179" s="48">
        <v>45450</v>
      </c>
      <c r="B179" s="49" t="str">
        <f>IF(C179="","",C179)</f>
        <v/>
      </c>
      <c r="C179" s="19"/>
      <c r="D179" s="16" t="s">
        <v>321</v>
      </c>
      <c r="E179" s="16" t="s">
        <v>321</v>
      </c>
      <c r="F179" s="23">
        <v>46816</v>
      </c>
      <c r="G179" s="29" t="s">
        <v>178</v>
      </c>
      <c r="H179" s="161" t="s">
        <v>43</v>
      </c>
      <c r="I179" s="42"/>
      <c r="J179" s="42"/>
      <c r="K179" s="42"/>
      <c r="L179" s="15"/>
      <c r="M179" s="15"/>
      <c r="N179" s="15"/>
      <c r="O179" s="15"/>
      <c r="P179" s="15"/>
      <c r="Q179" s="15"/>
      <c r="R179" s="15"/>
      <c r="S179" s="163" t="s">
        <v>41</v>
      </c>
      <c r="T179" s="163" t="s">
        <v>12</v>
      </c>
      <c r="U179" s="15"/>
      <c r="V179" s="15"/>
      <c r="W179" s="126">
        <v>5</v>
      </c>
      <c r="X179" s="126"/>
      <c r="Y179" s="69"/>
      <c r="Z179" s="165"/>
      <c r="AA179" s="69" t="s">
        <v>345</v>
      </c>
      <c r="AB179" s="165">
        <v>0.3</v>
      </c>
      <c r="AC179" s="69" t="s">
        <v>59</v>
      </c>
      <c r="AD179" s="157">
        <v>0.7</v>
      </c>
      <c r="AE179" s="15" t="s">
        <v>36</v>
      </c>
      <c r="AF179" s="38" t="s">
        <v>91</v>
      </c>
      <c r="AG179" s="38"/>
    </row>
    <row r="180" spans="1:33" ht="17.399999999999999" x14ac:dyDescent="0.4">
      <c r="A180" s="48">
        <v>45450</v>
      </c>
      <c r="B180" s="49"/>
      <c r="C180" s="19"/>
      <c r="D180" s="16" t="s">
        <v>321</v>
      </c>
      <c r="E180" s="16" t="s">
        <v>321</v>
      </c>
      <c r="F180" s="20">
        <v>46850</v>
      </c>
      <c r="G180" s="32" t="s">
        <v>152</v>
      </c>
      <c r="H180" s="161" t="s">
        <v>301</v>
      </c>
      <c r="I180" s="305"/>
      <c r="J180" s="305"/>
      <c r="K180" s="305"/>
      <c r="L180" s="15"/>
      <c r="M180" s="15"/>
      <c r="N180" s="15"/>
      <c r="O180" s="15"/>
      <c r="P180" s="15"/>
      <c r="Q180" s="15"/>
      <c r="R180" s="15"/>
      <c r="S180" s="163" t="s">
        <v>41</v>
      </c>
      <c r="T180" s="163" t="s">
        <v>12</v>
      </c>
      <c r="U180" s="15"/>
      <c r="V180" s="15"/>
      <c r="W180" s="126">
        <v>5</v>
      </c>
      <c r="X180" s="126"/>
      <c r="Y180" s="15"/>
      <c r="Z180" s="157"/>
      <c r="AA180" s="15"/>
      <c r="AB180" s="157"/>
      <c r="AC180" s="15" t="s">
        <v>59</v>
      </c>
      <c r="AD180" s="157">
        <v>1</v>
      </c>
      <c r="AE180" s="15" t="s">
        <v>36</v>
      </c>
      <c r="AF180" s="222" t="s">
        <v>151</v>
      </c>
      <c r="AG180" s="223"/>
    </row>
    <row r="181" spans="1:33" ht="64.8" x14ac:dyDescent="0.4">
      <c r="A181" s="48">
        <v>45450</v>
      </c>
      <c r="B181" s="49" t="str">
        <f>IF(C181="","",C181)</f>
        <v/>
      </c>
      <c r="C181" s="19"/>
      <c r="D181" s="16" t="s">
        <v>321</v>
      </c>
      <c r="E181" s="16" t="s">
        <v>321</v>
      </c>
      <c r="F181" s="36">
        <v>46907</v>
      </c>
      <c r="G181" s="37" t="s">
        <v>338</v>
      </c>
      <c r="H181" s="161" t="s">
        <v>185</v>
      </c>
      <c r="I181" s="41" t="s">
        <v>41</v>
      </c>
      <c r="J181" s="153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26">
        <v>5</v>
      </c>
      <c r="X181" s="126"/>
      <c r="Y181" s="15"/>
      <c r="Z181" s="157"/>
      <c r="AA181" s="309"/>
      <c r="AB181" s="309"/>
      <c r="AC181" s="15" t="s">
        <v>526</v>
      </c>
      <c r="AD181" s="157">
        <v>1</v>
      </c>
      <c r="AE181" s="15" t="s">
        <v>36</v>
      </c>
      <c r="AF181" s="39" t="s">
        <v>353</v>
      </c>
      <c r="AG181" s="39"/>
    </row>
    <row r="182" spans="1:33" x14ac:dyDescent="0.4">
      <c r="A182" s="48">
        <v>45450</v>
      </c>
      <c r="B182" s="49" t="str">
        <f>IF(C182="","",C182)</f>
        <v/>
      </c>
      <c r="C182" s="19"/>
      <c r="D182" s="16" t="s">
        <v>321</v>
      </c>
      <c r="E182" s="16" t="s">
        <v>321</v>
      </c>
      <c r="F182" s="20">
        <v>47717</v>
      </c>
      <c r="G182" s="32" t="s">
        <v>230</v>
      </c>
      <c r="H182" s="203" t="s">
        <v>231</v>
      </c>
      <c r="I182" s="204"/>
      <c r="J182" s="204"/>
      <c r="K182" s="204"/>
      <c r="L182" s="15"/>
      <c r="M182" s="15"/>
      <c r="N182" s="15"/>
      <c r="O182" s="15"/>
      <c r="P182" s="15"/>
      <c r="Q182" s="15"/>
      <c r="R182" s="15"/>
      <c r="S182" s="15"/>
      <c r="T182" s="15"/>
      <c r="U182" s="164" t="s">
        <v>112</v>
      </c>
      <c r="V182" s="15"/>
      <c r="W182" s="126">
        <v>5</v>
      </c>
      <c r="X182" s="126"/>
      <c r="Y182" s="15"/>
      <c r="Z182" s="157"/>
      <c r="AA182" s="15" t="s">
        <v>383</v>
      </c>
      <c r="AB182" s="157">
        <v>0.33329999999999999</v>
      </c>
      <c r="AC182" s="15" t="s">
        <v>59</v>
      </c>
      <c r="AD182" s="157">
        <v>0.66669999999999996</v>
      </c>
      <c r="AE182" s="15" t="s">
        <v>36</v>
      </c>
      <c r="AF182" s="224" t="s">
        <v>469</v>
      </c>
      <c r="AG182" s="224"/>
    </row>
    <row r="183" spans="1:33" ht="32.4" x14ac:dyDescent="0.4">
      <c r="A183" s="48">
        <v>45450</v>
      </c>
      <c r="B183" s="49"/>
      <c r="C183" s="19"/>
      <c r="D183" s="16" t="s">
        <v>321</v>
      </c>
      <c r="E183" s="16" t="s">
        <v>321</v>
      </c>
      <c r="F183" s="33">
        <v>46865</v>
      </c>
      <c r="G183" s="29" t="s">
        <v>254</v>
      </c>
      <c r="H183" s="161" t="s">
        <v>253</v>
      </c>
      <c r="I183" s="305"/>
      <c r="J183" s="305"/>
      <c r="K183" s="305"/>
      <c r="L183" s="15"/>
      <c r="M183" s="15"/>
      <c r="N183" s="15"/>
      <c r="O183" s="15"/>
      <c r="P183" s="15"/>
      <c r="Q183" s="15"/>
      <c r="R183" s="15"/>
      <c r="S183" s="163" t="s">
        <v>116</v>
      </c>
      <c r="T183" s="163" t="s">
        <v>116</v>
      </c>
      <c r="U183" s="164" t="s">
        <v>116</v>
      </c>
      <c r="V183" s="15"/>
      <c r="W183" s="309">
        <v>5</v>
      </c>
      <c r="X183" s="309"/>
      <c r="Y183" s="15"/>
      <c r="Z183" s="157"/>
      <c r="AA183" s="309" t="s">
        <v>507</v>
      </c>
      <c r="AB183" s="157">
        <v>0.3</v>
      </c>
      <c r="AC183" s="15" t="s">
        <v>390</v>
      </c>
      <c r="AD183" s="157">
        <v>0.7</v>
      </c>
      <c r="AE183" s="15" t="s">
        <v>36</v>
      </c>
      <c r="AF183" s="38" t="s">
        <v>45</v>
      </c>
      <c r="AG183" s="38"/>
    </row>
    <row r="184" spans="1:33" ht="32.4" x14ac:dyDescent="0.4">
      <c r="A184" s="48">
        <v>45450</v>
      </c>
      <c r="B184" s="49" t="str">
        <f>IF(C184="","",C184)</f>
        <v/>
      </c>
      <c r="C184" s="19"/>
      <c r="D184" s="16" t="s">
        <v>321</v>
      </c>
      <c r="E184" s="16" t="s">
        <v>321</v>
      </c>
      <c r="F184" s="36">
        <v>46900</v>
      </c>
      <c r="G184" s="32" t="s">
        <v>449</v>
      </c>
      <c r="H184" s="225" t="s">
        <v>482</v>
      </c>
      <c r="I184" s="41" t="s">
        <v>41</v>
      </c>
      <c r="J184" s="15"/>
      <c r="K184" s="41" t="s">
        <v>41</v>
      </c>
      <c r="L184" s="162" t="s">
        <v>41</v>
      </c>
      <c r="M184" s="162" t="s">
        <v>41</v>
      </c>
      <c r="N184" s="15"/>
      <c r="O184" s="172" t="s">
        <v>487</v>
      </c>
      <c r="P184" s="172" t="s">
        <v>487</v>
      </c>
      <c r="Q184" s="173" t="s">
        <v>41</v>
      </c>
      <c r="R184" s="173" t="s">
        <v>41</v>
      </c>
      <c r="S184" s="15"/>
      <c r="T184" s="15"/>
      <c r="U184" s="15"/>
      <c r="V184" s="15"/>
      <c r="W184" s="15">
        <v>5</v>
      </c>
      <c r="X184" s="15"/>
      <c r="Y184" s="15" t="s">
        <v>475</v>
      </c>
      <c r="Z184" s="159">
        <v>0.05</v>
      </c>
      <c r="AA184" s="15"/>
      <c r="AB184" s="15"/>
      <c r="AC184" s="15" t="s">
        <v>529</v>
      </c>
      <c r="AD184" s="159">
        <v>1</v>
      </c>
      <c r="AE184" s="15" t="s">
        <v>36</v>
      </c>
      <c r="AF184" s="38" t="s">
        <v>337</v>
      </c>
      <c r="AG184" s="220"/>
    </row>
    <row r="185" spans="1:33" x14ac:dyDescent="0.4">
      <c r="A185" s="48">
        <v>45450</v>
      </c>
      <c r="B185" s="49"/>
      <c r="C185" s="53"/>
      <c r="D185" s="16" t="s">
        <v>321</v>
      </c>
      <c r="E185" s="16" t="s">
        <v>321</v>
      </c>
      <c r="F185" s="54">
        <v>46879</v>
      </c>
      <c r="G185" s="55" t="s">
        <v>120</v>
      </c>
      <c r="H185" s="156" t="s">
        <v>117</v>
      </c>
      <c r="I185" s="82"/>
      <c r="J185" s="82"/>
      <c r="K185" s="82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60" t="s">
        <v>121</v>
      </c>
      <c r="W185" s="126">
        <v>5</v>
      </c>
      <c r="X185" s="15"/>
      <c r="Y185" s="69"/>
      <c r="Z185" s="202"/>
      <c r="AA185" s="69"/>
      <c r="AB185" s="165"/>
      <c r="AC185" s="69" t="s">
        <v>581</v>
      </c>
      <c r="AD185" s="157">
        <v>1</v>
      </c>
      <c r="AE185" s="15" t="s">
        <v>36</v>
      </c>
      <c r="AF185" s="151" t="s">
        <v>118</v>
      </c>
      <c r="AG185" s="150"/>
    </row>
    <row r="186" spans="1:33" x14ac:dyDescent="0.4">
      <c r="A186" s="48">
        <v>45450</v>
      </c>
      <c r="B186" s="49"/>
      <c r="C186" s="19"/>
      <c r="D186" s="16" t="s">
        <v>321</v>
      </c>
      <c r="E186" s="16" t="s">
        <v>321</v>
      </c>
      <c r="F186" s="33">
        <v>46886</v>
      </c>
      <c r="G186" s="29" t="s">
        <v>273</v>
      </c>
      <c r="H186" s="161" t="s">
        <v>272</v>
      </c>
      <c r="I186" s="42"/>
      <c r="J186" s="42"/>
      <c r="K186" s="42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60" t="s">
        <v>41</v>
      </c>
      <c r="W186" s="126">
        <v>5</v>
      </c>
      <c r="X186" s="126"/>
      <c r="Y186" s="69"/>
      <c r="Z186" s="165"/>
      <c r="AA186" s="166"/>
      <c r="AB186" s="165"/>
      <c r="AC186" s="69" t="s">
        <v>309</v>
      </c>
      <c r="AD186" s="157">
        <v>1</v>
      </c>
      <c r="AE186" s="15" t="s">
        <v>119</v>
      </c>
      <c r="AF186" s="205" t="s">
        <v>167</v>
      </c>
      <c r="AG186" s="220"/>
    </row>
    <row r="187" spans="1:33" x14ac:dyDescent="0.4">
      <c r="A187" s="48">
        <v>45450</v>
      </c>
      <c r="B187" s="49" t="str">
        <f>IF(C187="","",C187)</f>
        <v/>
      </c>
      <c r="C187" s="19"/>
      <c r="D187" s="16" t="s">
        <v>321</v>
      </c>
      <c r="E187" s="16" t="s">
        <v>321</v>
      </c>
      <c r="F187" s="20">
        <v>46854</v>
      </c>
      <c r="G187" s="32" t="s">
        <v>168</v>
      </c>
      <c r="H187" s="161" t="s">
        <v>169</v>
      </c>
      <c r="I187" s="305"/>
      <c r="J187" s="305"/>
      <c r="K187" s="305"/>
      <c r="L187" s="15"/>
      <c r="M187" s="15"/>
      <c r="N187" s="15"/>
      <c r="O187" s="15"/>
      <c r="P187" s="15"/>
      <c r="Q187" s="15"/>
      <c r="R187" s="15"/>
      <c r="S187" s="163" t="s">
        <v>11</v>
      </c>
      <c r="T187" s="163" t="s">
        <v>41</v>
      </c>
      <c r="U187" s="164" t="s">
        <v>41</v>
      </c>
      <c r="V187" s="160" t="s">
        <v>79</v>
      </c>
      <c r="W187" s="126">
        <v>5</v>
      </c>
      <c r="X187" s="126"/>
      <c r="Y187" s="15"/>
      <c r="Z187" s="157"/>
      <c r="AA187" s="15" t="s">
        <v>316</v>
      </c>
      <c r="AB187" s="157">
        <v>0.33</v>
      </c>
      <c r="AC187" s="15" t="s">
        <v>59</v>
      </c>
      <c r="AD187" s="165">
        <v>0.67</v>
      </c>
      <c r="AE187" s="69" t="s">
        <v>36</v>
      </c>
      <c r="AF187" s="39" t="s">
        <v>170</v>
      </c>
      <c r="AG187" s="39"/>
    </row>
    <row r="188" spans="1:33" x14ac:dyDescent="0.4">
      <c r="A188" s="48">
        <v>45450</v>
      </c>
      <c r="B188" s="49"/>
      <c r="C188" s="19"/>
      <c r="D188" s="16" t="s">
        <v>321</v>
      </c>
      <c r="E188" s="16" t="s">
        <v>321</v>
      </c>
      <c r="F188" s="23">
        <v>46825</v>
      </c>
      <c r="G188" s="29" t="s">
        <v>225</v>
      </c>
      <c r="H188" s="69" t="s">
        <v>226</v>
      </c>
      <c r="I188" s="41" t="s">
        <v>41</v>
      </c>
      <c r="J188" s="15"/>
      <c r="K188" s="41" t="s">
        <v>41</v>
      </c>
      <c r="L188" s="15"/>
      <c r="M188" s="162" t="s">
        <v>41</v>
      </c>
      <c r="N188" s="15"/>
      <c r="O188" s="15"/>
      <c r="P188" s="15"/>
      <c r="Q188" s="173" t="s">
        <v>41</v>
      </c>
      <c r="R188" s="15"/>
      <c r="S188" s="15"/>
      <c r="T188" s="15"/>
      <c r="U188" s="15"/>
      <c r="V188" s="15"/>
      <c r="W188" s="126">
        <v>5</v>
      </c>
      <c r="X188" s="126"/>
      <c r="Y188" s="69"/>
      <c r="Z188" s="165"/>
      <c r="AA188" s="166"/>
      <c r="AB188" s="166"/>
      <c r="AC188" s="69" t="s">
        <v>35</v>
      </c>
      <c r="AD188" s="157">
        <v>1</v>
      </c>
      <c r="AE188" s="15" t="s">
        <v>36</v>
      </c>
      <c r="AF188" s="38" t="s">
        <v>185</v>
      </c>
      <c r="AG188" s="38"/>
    </row>
    <row r="189" spans="1:33" x14ac:dyDescent="0.4">
      <c r="A189" s="48">
        <v>45450</v>
      </c>
      <c r="B189" s="49" t="str">
        <f>IF(C189="","",C189)</f>
        <v/>
      </c>
      <c r="C189" s="19"/>
      <c r="D189" s="16" t="s">
        <v>321</v>
      </c>
      <c r="E189" s="16" t="s">
        <v>321</v>
      </c>
      <c r="F189" s="23">
        <v>46829</v>
      </c>
      <c r="G189" s="29" t="s">
        <v>279</v>
      </c>
      <c r="H189" s="161" t="s">
        <v>167</v>
      </c>
      <c r="I189" s="42"/>
      <c r="J189" s="42"/>
      <c r="K189" s="42"/>
      <c r="L189" s="15"/>
      <c r="M189" s="15"/>
      <c r="N189" s="15"/>
      <c r="O189" s="15"/>
      <c r="P189" s="15"/>
      <c r="Q189" s="15"/>
      <c r="R189" s="15"/>
      <c r="S189" s="163" t="s">
        <v>41</v>
      </c>
      <c r="T189" s="163" t="s">
        <v>12</v>
      </c>
      <c r="U189" s="15"/>
      <c r="V189" s="15"/>
      <c r="W189" s="126">
        <v>5</v>
      </c>
      <c r="X189" s="126"/>
      <c r="Y189" s="15"/>
      <c r="Z189" s="157"/>
      <c r="AA189" s="309" t="s">
        <v>370</v>
      </c>
      <c r="AB189" s="157">
        <v>0.3</v>
      </c>
      <c r="AC189" s="309" t="s">
        <v>369</v>
      </c>
      <c r="AD189" s="157">
        <v>0.7</v>
      </c>
      <c r="AE189" s="15" t="s">
        <v>368</v>
      </c>
      <c r="AF189" s="38" t="s">
        <v>91</v>
      </c>
      <c r="AG189" s="38"/>
    </row>
    <row r="190" spans="1:33" x14ac:dyDescent="0.4">
      <c r="A190" s="48"/>
      <c r="B190" s="49" t="str">
        <f>IF(C190="","",C190)</f>
        <v/>
      </c>
      <c r="C190" s="19"/>
      <c r="D190" s="16" t="s">
        <v>321</v>
      </c>
      <c r="E190" s="16" t="s">
        <v>321</v>
      </c>
      <c r="F190" s="23">
        <v>46263</v>
      </c>
      <c r="G190" s="67" t="s">
        <v>249</v>
      </c>
      <c r="H190" s="161" t="s">
        <v>245</v>
      </c>
      <c r="I190" s="42"/>
      <c r="J190" s="42"/>
      <c r="K190" s="42"/>
      <c r="L190" s="15"/>
      <c r="M190" s="15"/>
      <c r="N190" s="149"/>
      <c r="O190" s="172">
        <v>6</v>
      </c>
      <c r="P190" s="172">
        <v>6</v>
      </c>
      <c r="Q190" s="173">
        <v>6</v>
      </c>
      <c r="R190" s="173">
        <v>6</v>
      </c>
      <c r="S190" s="15"/>
      <c r="T190" s="15"/>
      <c r="U190" s="15"/>
      <c r="V190" s="15"/>
      <c r="W190" s="126">
        <v>5</v>
      </c>
      <c r="X190" s="309"/>
      <c r="Y190" s="69"/>
      <c r="Z190" s="165"/>
      <c r="AA190" s="166"/>
      <c r="AB190" s="166"/>
      <c r="AC190" s="69" t="s">
        <v>36</v>
      </c>
      <c r="AD190" s="157">
        <v>1</v>
      </c>
      <c r="AE190" s="15" t="s">
        <v>36</v>
      </c>
      <c r="AF190" s="216" t="s">
        <v>36</v>
      </c>
      <c r="AG190" s="214"/>
    </row>
    <row r="191" spans="1:33" s="4" customFormat="1" x14ac:dyDescent="0.4">
      <c r="A191" s="48">
        <v>45450</v>
      </c>
      <c r="B191" s="49" t="str">
        <f>IF(C191="","",C191)</f>
        <v/>
      </c>
      <c r="C191" s="19"/>
      <c r="D191" s="16" t="s">
        <v>321</v>
      </c>
      <c r="E191" s="16" t="s">
        <v>321</v>
      </c>
      <c r="F191" s="28">
        <v>46184</v>
      </c>
      <c r="G191" s="35" t="s">
        <v>150</v>
      </c>
      <c r="H191" s="161" t="s">
        <v>151</v>
      </c>
      <c r="I191" s="305"/>
      <c r="J191" s="305"/>
      <c r="K191" s="305"/>
      <c r="L191" s="15"/>
      <c r="M191" s="15"/>
      <c r="N191" s="15"/>
      <c r="O191" s="15"/>
      <c r="P191" s="15"/>
      <c r="Q191" s="173">
        <v>7</v>
      </c>
      <c r="R191" s="173">
        <v>7</v>
      </c>
      <c r="S191" s="15"/>
      <c r="T191" s="15"/>
      <c r="U191" s="15"/>
      <c r="V191" s="15"/>
      <c r="W191" s="126">
        <v>5</v>
      </c>
      <c r="X191" s="15" t="s">
        <v>34</v>
      </c>
      <c r="Y191" s="153"/>
      <c r="Z191" s="155"/>
      <c r="AA191" s="153"/>
      <c r="AB191" s="153"/>
      <c r="AC191" s="153" t="s">
        <v>35</v>
      </c>
      <c r="AD191" s="174">
        <v>1</v>
      </c>
      <c r="AE191" s="15" t="s">
        <v>36</v>
      </c>
      <c r="AF191" s="39" t="s">
        <v>501</v>
      </c>
      <c r="AG191" s="39"/>
    </row>
    <row r="192" spans="1:33" x14ac:dyDescent="0.4">
      <c r="A192" s="48">
        <v>45450</v>
      </c>
      <c r="B192" s="49"/>
      <c r="C192" s="19"/>
      <c r="D192" s="16" t="s">
        <v>321</v>
      </c>
      <c r="E192" s="16" t="s">
        <v>321</v>
      </c>
      <c r="F192" s="28">
        <v>45201</v>
      </c>
      <c r="G192" s="35" t="s">
        <v>202</v>
      </c>
      <c r="H192" s="161" t="s">
        <v>149</v>
      </c>
      <c r="I192" s="41">
        <v>5</v>
      </c>
      <c r="J192" s="41">
        <v>5</v>
      </c>
      <c r="K192" s="41">
        <v>5</v>
      </c>
      <c r="L192" s="162">
        <v>5</v>
      </c>
      <c r="M192" s="15"/>
      <c r="N192" s="15"/>
      <c r="O192" s="15"/>
      <c r="P192" s="15"/>
      <c r="Q192" s="15"/>
      <c r="R192" s="15"/>
      <c r="S192" s="15" t="s">
        <v>300</v>
      </c>
      <c r="T192" s="15"/>
      <c r="U192" s="15"/>
      <c r="V192" s="15"/>
      <c r="W192" s="126">
        <v>2.5</v>
      </c>
      <c r="X192" s="126"/>
      <c r="Y192" s="15"/>
      <c r="Z192" s="157"/>
      <c r="AA192" s="15" t="s">
        <v>203</v>
      </c>
      <c r="AB192" s="157">
        <v>0.5</v>
      </c>
      <c r="AC192" s="15" t="s">
        <v>35</v>
      </c>
      <c r="AD192" s="157">
        <v>0.5</v>
      </c>
      <c r="AE192" s="15" t="s">
        <v>36</v>
      </c>
      <c r="AF192" s="205" t="s">
        <v>138</v>
      </c>
      <c r="AG192" s="38"/>
    </row>
    <row r="193" spans="1:33" s="4" customFormat="1" x14ac:dyDescent="0.4">
      <c r="A193" s="48">
        <v>45450</v>
      </c>
      <c r="B193" s="49"/>
      <c r="C193" s="19"/>
      <c r="D193" s="16" t="s">
        <v>321</v>
      </c>
      <c r="E193" s="16" t="s">
        <v>321</v>
      </c>
      <c r="F193" s="28">
        <v>45203</v>
      </c>
      <c r="G193" s="35" t="s">
        <v>202</v>
      </c>
      <c r="H193" s="161" t="s">
        <v>149</v>
      </c>
      <c r="I193" s="15"/>
      <c r="J193" s="15"/>
      <c r="K193" s="15"/>
      <c r="L193" s="15"/>
      <c r="M193" s="15"/>
      <c r="N193" s="15"/>
      <c r="O193" s="307" t="s">
        <v>233</v>
      </c>
      <c r="P193" s="307" t="s">
        <v>233</v>
      </c>
      <c r="Q193" s="15"/>
      <c r="R193" s="15"/>
      <c r="S193" s="15"/>
      <c r="T193" s="15"/>
      <c r="U193" s="15"/>
      <c r="V193" s="15"/>
      <c r="W193" s="309">
        <v>2.5</v>
      </c>
      <c r="X193" s="309"/>
      <c r="Y193" s="15"/>
      <c r="Z193" s="157"/>
      <c r="AA193" s="15" t="s">
        <v>203</v>
      </c>
      <c r="AB193" s="157">
        <v>0.5</v>
      </c>
      <c r="AC193" s="15" t="s">
        <v>35</v>
      </c>
      <c r="AD193" s="157">
        <v>0.5</v>
      </c>
      <c r="AE193" s="15" t="s">
        <v>36</v>
      </c>
      <c r="AF193" s="205" t="s">
        <v>138</v>
      </c>
      <c r="AG193" s="38"/>
    </row>
    <row r="194" spans="1:33" x14ac:dyDescent="0.4">
      <c r="A194" s="48"/>
      <c r="B194" s="76"/>
      <c r="C194" s="19"/>
      <c r="D194" s="16" t="s">
        <v>321</v>
      </c>
      <c r="E194" s="16" t="s">
        <v>321</v>
      </c>
      <c r="F194" s="25">
        <v>46187</v>
      </c>
      <c r="G194" s="68" t="s">
        <v>248</v>
      </c>
      <c r="H194" s="180" t="s">
        <v>245</v>
      </c>
      <c r="I194" s="117"/>
      <c r="J194" s="117"/>
      <c r="K194" s="117"/>
      <c r="L194" s="148"/>
      <c r="M194" s="148"/>
      <c r="N194" s="148"/>
      <c r="O194" s="148"/>
      <c r="P194" s="181">
        <v>6</v>
      </c>
      <c r="Q194" s="148"/>
      <c r="R194" s="226">
        <v>6</v>
      </c>
      <c r="S194" s="148"/>
      <c r="T194" s="148"/>
      <c r="U194" s="148"/>
      <c r="V194" s="148"/>
      <c r="W194" s="186">
        <v>5</v>
      </c>
      <c r="X194" s="186"/>
      <c r="Y194" s="148"/>
      <c r="Z194" s="197"/>
      <c r="AA194" s="186"/>
      <c r="AB194" s="186"/>
      <c r="AC194" s="148" t="s">
        <v>108</v>
      </c>
      <c r="AD194" s="197">
        <v>1</v>
      </c>
      <c r="AE194" s="15" t="s">
        <v>36</v>
      </c>
      <c r="AF194" s="227" t="s">
        <v>560</v>
      </c>
      <c r="AG194" s="228"/>
    </row>
    <row r="195" spans="1:33" s="14" customFormat="1" ht="32.4" customHeight="1" x14ac:dyDescent="0.3">
      <c r="A195" s="48">
        <v>45450</v>
      </c>
      <c r="B195" s="49" t="str">
        <f t="shared" ref="B195:B216" si="6">IF(C195="","",C195)</f>
        <v/>
      </c>
      <c r="C195" s="19"/>
      <c r="D195" s="16" t="s">
        <v>321</v>
      </c>
      <c r="E195" s="16" t="s">
        <v>321</v>
      </c>
      <c r="F195" s="20">
        <v>46860</v>
      </c>
      <c r="G195" s="32" t="s">
        <v>261</v>
      </c>
      <c r="H195" s="161" t="s">
        <v>91</v>
      </c>
      <c r="I195" s="305"/>
      <c r="J195" s="305"/>
      <c r="K195" s="305"/>
      <c r="L195" s="15"/>
      <c r="M195" s="15"/>
      <c r="N195" s="15"/>
      <c r="O195" s="15"/>
      <c r="P195" s="15"/>
      <c r="Q195" s="15"/>
      <c r="R195" s="15"/>
      <c r="S195" s="163" t="s">
        <v>41</v>
      </c>
      <c r="T195" s="163" t="s">
        <v>12</v>
      </c>
      <c r="U195" s="15"/>
      <c r="V195" s="15"/>
      <c r="W195" s="126">
        <v>5</v>
      </c>
      <c r="X195" s="309"/>
      <c r="Y195" s="15"/>
      <c r="Z195" s="157"/>
      <c r="AA195" s="15" t="s">
        <v>310</v>
      </c>
      <c r="AB195" s="157">
        <v>0.25</v>
      </c>
      <c r="AC195" s="309" t="s">
        <v>59</v>
      </c>
      <c r="AD195" s="157">
        <v>0.75</v>
      </c>
      <c r="AE195" s="15" t="s">
        <v>36</v>
      </c>
      <c r="AF195" s="38" t="s">
        <v>100</v>
      </c>
      <c r="AG195" s="38"/>
    </row>
    <row r="196" spans="1:33" s="14" customFormat="1" ht="19.8" customHeight="1" x14ac:dyDescent="0.3">
      <c r="A196" s="48">
        <v>45450</v>
      </c>
      <c r="B196" s="49" t="str">
        <f t="shared" si="6"/>
        <v/>
      </c>
      <c r="C196" s="19"/>
      <c r="D196" s="16" t="s">
        <v>321</v>
      </c>
      <c r="E196" s="16" t="s">
        <v>321</v>
      </c>
      <c r="F196" s="36">
        <v>46882</v>
      </c>
      <c r="G196" s="37" t="s">
        <v>122</v>
      </c>
      <c r="H196" s="156" t="s">
        <v>117</v>
      </c>
      <c r="I196" s="82"/>
      <c r="J196" s="82"/>
      <c r="K196" s="82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60" t="s">
        <v>41</v>
      </c>
      <c r="W196" s="126">
        <v>5</v>
      </c>
      <c r="X196" s="15"/>
      <c r="Y196" s="153"/>
      <c r="Z196" s="155"/>
      <c r="AA196" s="153" t="s">
        <v>465</v>
      </c>
      <c r="AB196" s="155" t="s">
        <v>464</v>
      </c>
      <c r="AC196" s="153" t="s">
        <v>36</v>
      </c>
      <c r="AD196" s="153" t="s">
        <v>36</v>
      </c>
      <c r="AE196" s="15" t="s">
        <v>36</v>
      </c>
      <c r="AF196" s="83" t="s">
        <v>463</v>
      </c>
      <c r="AG196" s="39"/>
    </row>
    <row r="197" spans="1:33" s="14" customFormat="1" x14ac:dyDescent="0.3">
      <c r="A197" s="48">
        <v>45450</v>
      </c>
      <c r="B197" s="49" t="str">
        <f t="shared" si="6"/>
        <v/>
      </c>
      <c r="C197" s="19"/>
      <c r="D197" s="16" t="s">
        <v>321</v>
      </c>
      <c r="E197" s="16" t="s">
        <v>321</v>
      </c>
      <c r="F197" s="23">
        <v>46871</v>
      </c>
      <c r="G197" s="29" t="s">
        <v>326</v>
      </c>
      <c r="H197" s="161" t="s">
        <v>549</v>
      </c>
      <c r="I197" s="15"/>
      <c r="J197" s="15"/>
      <c r="K197" s="15"/>
      <c r="L197" s="162" t="s">
        <v>41</v>
      </c>
      <c r="M197" s="162" t="s">
        <v>342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26">
        <v>5</v>
      </c>
      <c r="X197" s="126"/>
      <c r="Y197" s="15"/>
      <c r="Z197" s="157"/>
      <c r="AA197" s="126"/>
      <c r="AB197" s="126"/>
      <c r="AC197" s="15" t="s">
        <v>35</v>
      </c>
      <c r="AD197" s="157">
        <v>1</v>
      </c>
      <c r="AE197" s="15" t="s">
        <v>36</v>
      </c>
      <c r="AF197" s="38" t="s">
        <v>64</v>
      </c>
      <c r="AG197" s="38"/>
    </row>
    <row r="198" spans="1:33" s="6" customFormat="1" x14ac:dyDescent="0.4">
      <c r="A198" s="48">
        <v>45450</v>
      </c>
      <c r="B198" s="49" t="str">
        <f t="shared" si="6"/>
        <v/>
      </c>
      <c r="C198" s="19"/>
      <c r="D198" s="16" t="s">
        <v>321</v>
      </c>
      <c r="E198" s="16" t="s">
        <v>321</v>
      </c>
      <c r="F198" s="28">
        <v>45202</v>
      </c>
      <c r="G198" s="35" t="s">
        <v>396</v>
      </c>
      <c r="H198" s="69" t="s">
        <v>220</v>
      </c>
      <c r="I198" s="41">
        <v>5</v>
      </c>
      <c r="J198" s="41">
        <v>5</v>
      </c>
      <c r="K198" s="41">
        <v>5</v>
      </c>
      <c r="L198" s="15"/>
      <c r="M198" s="162">
        <v>5</v>
      </c>
      <c r="N198" s="15"/>
      <c r="O198" s="181">
        <v>3</v>
      </c>
      <c r="P198" s="181">
        <v>3</v>
      </c>
      <c r="Q198" s="173">
        <v>5</v>
      </c>
      <c r="R198" s="173">
        <v>5</v>
      </c>
      <c r="S198" s="15"/>
      <c r="T198" s="15"/>
      <c r="U198" s="15"/>
      <c r="V198" s="15"/>
      <c r="W198" s="126">
        <v>2.5</v>
      </c>
      <c r="X198" s="126"/>
      <c r="Y198" s="15"/>
      <c r="Z198" s="157"/>
      <c r="AA198" s="309"/>
      <c r="AB198" s="309"/>
      <c r="AC198" s="15" t="s">
        <v>35</v>
      </c>
      <c r="AD198" s="157">
        <v>1</v>
      </c>
      <c r="AE198" s="15" t="s">
        <v>36</v>
      </c>
      <c r="AF198" s="38" t="s">
        <v>81</v>
      </c>
      <c r="AG198" s="38"/>
    </row>
    <row r="199" spans="1:33" ht="32.4" x14ac:dyDescent="0.4">
      <c r="A199" s="48">
        <v>45450</v>
      </c>
      <c r="B199" s="49" t="str">
        <f t="shared" si="6"/>
        <v/>
      </c>
      <c r="C199" s="19"/>
      <c r="D199" s="16" t="s">
        <v>321</v>
      </c>
      <c r="E199" s="16" t="s">
        <v>321</v>
      </c>
      <c r="F199" s="23">
        <v>46905</v>
      </c>
      <c r="G199" s="29" t="s">
        <v>252</v>
      </c>
      <c r="H199" s="161" t="s">
        <v>302</v>
      </c>
      <c r="I199" s="41" t="s">
        <v>97</v>
      </c>
      <c r="J199" s="41" t="s">
        <v>41</v>
      </c>
      <c r="K199" s="41" t="s">
        <v>41</v>
      </c>
      <c r="L199" s="162" t="s">
        <v>41</v>
      </c>
      <c r="M199" s="162" t="s">
        <v>41</v>
      </c>
      <c r="N199" s="152" t="s">
        <v>41</v>
      </c>
      <c r="O199" s="15"/>
      <c r="P199" s="15"/>
      <c r="Q199" s="173" t="s">
        <v>41</v>
      </c>
      <c r="R199" s="173" t="s">
        <v>41</v>
      </c>
      <c r="S199" s="15"/>
      <c r="T199" s="15"/>
      <c r="U199" s="15"/>
      <c r="V199" s="15"/>
      <c r="W199" s="126">
        <v>5</v>
      </c>
      <c r="X199" s="309"/>
      <c r="Y199" s="15"/>
      <c r="Z199" s="157"/>
      <c r="AA199" s="229" t="s">
        <v>500</v>
      </c>
      <c r="AB199" s="157">
        <v>0.33329999999999999</v>
      </c>
      <c r="AC199" s="15" t="s">
        <v>59</v>
      </c>
      <c r="AD199" s="157">
        <v>0.66669999999999996</v>
      </c>
      <c r="AE199" s="15" t="s">
        <v>36</v>
      </c>
      <c r="AF199" s="38" t="s">
        <v>245</v>
      </c>
      <c r="AG199" s="39"/>
    </row>
    <row r="200" spans="1:33" x14ac:dyDescent="0.4">
      <c r="A200" s="48">
        <v>45450</v>
      </c>
      <c r="B200" s="49" t="str">
        <f t="shared" si="6"/>
        <v/>
      </c>
      <c r="C200" s="19"/>
      <c r="D200" s="16" t="s">
        <v>321</v>
      </c>
      <c r="E200" s="16" t="s">
        <v>321</v>
      </c>
      <c r="F200" s="28">
        <v>48371</v>
      </c>
      <c r="G200" s="35" t="s">
        <v>286</v>
      </c>
      <c r="H200" s="16" t="s">
        <v>287</v>
      </c>
      <c r="I200" s="148"/>
      <c r="J200" s="148"/>
      <c r="K200" s="148"/>
      <c r="L200" s="15"/>
      <c r="M200" s="15"/>
      <c r="N200" s="15"/>
      <c r="O200" s="15"/>
      <c r="P200" s="15"/>
      <c r="Q200" s="173">
        <v>5</v>
      </c>
      <c r="R200" s="173">
        <v>5</v>
      </c>
      <c r="S200" s="15"/>
      <c r="T200" s="15"/>
      <c r="U200" s="15"/>
      <c r="V200" s="15"/>
      <c r="W200" s="126">
        <v>2.5</v>
      </c>
      <c r="X200" s="15" t="s">
        <v>312</v>
      </c>
      <c r="Y200" s="15"/>
      <c r="Z200" s="159"/>
      <c r="AA200" s="15"/>
      <c r="AB200" s="15"/>
      <c r="AC200" s="15" t="s">
        <v>35</v>
      </c>
      <c r="AD200" s="157">
        <v>1</v>
      </c>
      <c r="AE200" s="15" t="s">
        <v>36</v>
      </c>
      <c r="AF200" s="38" t="s">
        <v>81</v>
      </c>
      <c r="AG200" s="190"/>
    </row>
    <row r="201" spans="1:33" x14ac:dyDescent="0.4">
      <c r="A201" s="48">
        <v>45450</v>
      </c>
      <c r="B201" s="49" t="str">
        <f t="shared" si="6"/>
        <v/>
      </c>
      <c r="C201" s="19"/>
      <c r="D201" s="16" t="s">
        <v>321</v>
      </c>
      <c r="E201" s="16" t="s">
        <v>321</v>
      </c>
      <c r="F201" s="23">
        <v>46912</v>
      </c>
      <c r="G201" s="29" t="s">
        <v>140</v>
      </c>
      <c r="H201" s="161" t="s">
        <v>138</v>
      </c>
      <c r="I201" s="41" t="s">
        <v>41</v>
      </c>
      <c r="J201" s="41" t="s">
        <v>41</v>
      </c>
      <c r="K201" s="41" t="s">
        <v>450</v>
      </c>
      <c r="L201" s="162" t="s">
        <v>41</v>
      </c>
      <c r="M201" s="162" t="s">
        <v>41</v>
      </c>
      <c r="N201" s="152" t="s">
        <v>41</v>
      </c>
      <c r="O201" s="15"/>
      <c r="P201" s="15"/>
      <c r="Q201" s="173" t="s">
        <v>41</v>
      </c>
      <c r="R201" s="173" t="s">
        <v>41</v>
      </c>
      <c r="S201" s="15"/>
      <c r="T201" s="15"/>
      <c r="U201" s="15"/>
      <c r="V201" s="15"/>
      <c r="W201" s="126">
        <v>5</v>
      </c>
      <c r="X201" s="309"/>
      <c r="Y201" s="153"/>
      <c r="Z201" s="174"/>
      <c r="AA201" s="167"/>
      <c r="AB201" s="167"/>
      <c r="AC201" s="153" t="s">
        <v>46</v>
      </c>
      <c r="AD201" s="174">
        <v>1</v>
      </c>
      <c r="AE201" s="15" t="s">
        <v>36</v>
      </c>
      <c r="AF201" s="38" t="s">
        <v>149</v>
      </c>
      <c r="AG201" s="39"/>
    </row>
    <row r="202" spans="1:33" ht="32.4" x14ac:dyDescent="0.4">
      <c r="A202" s="48">
        <v>45450</v>
      </c>
      <c r="B202" s="49" t="str">
        <f t="shared" si="6"/>
        <v/>
      </c>
      <c r="C202" s="19"/>
      <c r="D202" s="16" t="s">
        <v>321</v>
      </c>
      <c r="E202" s="16" t="s">
        <v>321</v>
      </c>
      <c r="F202" s="28">
        <v>411031</v>
      </c>
      <c r="G202" s="30" t="s">
        <v>47</v>
      </c>
      <c r="H202" s="161" t="s">
        <v>45</v>
      </c>
      <c r="I202" s="41">
        <v>2</v>
      </c>
      <c r="J202" s="41">
        <v>2</v>
      </c>
      <c r="K202" s="41">
        <v>2</v>
      </c>
      <c r="L202" s="162">
        <v>1</v>
      </c>
      <c r="M202" s="162">
        <v>1</v>
      </c>
      <c r="N202" s="152">
        <v>1</v>
      </c>
      <c r="O202" s="172">
        <v>1</v>
      </c>
      <c r="P202" s="172">
        <v>1</v>
      </c>
      <c r="Q202" s="182"/>
      <c r="R202" s="182"/>
      <c r="S202" s="15"/>
      <c r="T202" s="15"/>
      <c r="U202" s="15"/>
      <c r="V202" s="15"/>
      <c r="W202" s="309">
        <v>2.5</v>
      </c>
      <c r="X202" s="15" t="s">
        <v>48</v>
      </c>
      <c r="Y202" s="153"/>
      <c r="Z202" s="155"/>
      <c r="AA202" s="153"/>
      <c r="AB202" s="153"/>
      <c r="AC202" s="153" t="s">
        <v>49</v>
      </c>
      <c r="AD202" s="174">
        <v>1</v>
      </c>
      <c r="AE202" s="15" t="s">
        <v>36</v>
      </c>
      <c r="AF202" s="38" t="s">
        <v>548</v>
      </c>
      <c r="AG202" s="38"/>
    </row>
    <row r="203" spans="1:33" x14ac:dyDescent="0.4">
      <c r="A203" s="48">
        <v>45450</v>
      </c>
      <c r="B203" s="49" t="str">
        <f t="shared" si="6"/>
        <v/>
      </c>
      <c r="C203" s="19"/>
      <c r="D203" s="16" t="s">
        <v>321</v>
      </c>
      <c r="E203" s="16" t="s">
        <v>321</v>
      </c>
      <c r="F203" s="20">
        <v>45195</v>
      </c>
      <c r="G203" s="32" t="s">
        <v>106</v>
      </c>
      <c r="H203" s="161" t="s">
        <v>109</v>
      </c>
      <c r="I203" s="305"/>
      <c r="J203" s="42"/>
      <c r="K203" s="305"/>
      <c r="L203" s="130" t="s">
        <v>107</v>
      </c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167">
        <v>7.5</v>
      </c>
      <c r="X203" s="167"/>
      <c r="Y203" s="15"/>
      <c r="Z203" s="157"/>
      <c r="AA203" s="126"/>
      <c r="AB203" s="126"/>
      <c r="AC203" s="15" t="s">
        <v>108</v>
      </c>
      <c r="AD203" s="157">
        <v>1</v>
      </c>
      <c r="AE203" s="15" t="s">
        <v>36</v>
      </c>
      <c r="AF203" s="38" t="s">
        <v>81</v>
      </c>
      <c r="AG203" s="38"/>
    </row>
    <row r="204" spans="1:33" s="4" customFormat="1" ht="32.4" x14ac:dyDescent="0.4">
      <c r="A204" s="48">
        <v>45450</v>
      </c>
      <c r="B204" s="49" t="str">
        <f t="shared" si="6"/>
        <v/>
      </c>
      <c r="C204" s="19"/>
      <c r="D204" s="16" t="s">
        <v>321</v>
      </c>
      <c r="E204" s="16" t="s">
        <v>321</v>
      </c>
      <c r="F204" s="20">
        <v>43081</v>
      </c>
      <c r="G204" s="32" t="s">
        <v>141</v>
      </c>
      <c r="H204" s="161" t="s">
        <v>511</v>
      </c>
      <c r="I204" s="41">
        <v>3</v>
      </c>
      <c r="J204" s="305"/>
      <c r="K204" s="41">
        <v>5</v>
      </c>
      <c r="L204" s="162" t="s">
        <v>142</v>
      </c>
      <c r="M204" s="162" t="s">
        <v>341</v>
      </c>
      <c r="N204" s="131" t="s">
        <v>41</v>
      </c>
      <c r="O204" s="307" t="s">
        <v>41</v>
      </c>
      <c r="P204" s="307" t="s">
        <v>41</v>
      </c>
      <c r="Q204" s="173">
        <v>3</v>
      </c>
      <c r="R204" s="15"/>
      <c r="S204" s="15"/>
      <c r="T204" s="15"/>
      <c r="U204" s="15"/>
      <c r="V204" s="15"/>
      <c r="W204" s="167">
        <v>5</v>
      </c>
      <c r="X204" s="167"/>
      <c r="Y204" s="15"/>
      <c r="Z204" s="157"/>
      <c r="AA204" s="126"/>
      <c r="AB204" s="126"/>
      <c r="AC204" s="15" t="s">
        <v>59</v>
      </c>
      <c r="AD204" s="157">
        <v>1</v>
      </c>
      <c r="AE204" s="15" t="s">
        <v>36</v>
      </c>
      <c r="AF204" s="38" t="s">
        <v>303</v>
      </c>
      <c r="AG204" s="38"/>
    </row>
    <row r="205" spans="1:33" s="4" customFormat="1" x14ac:dyDescent="0.4">
      <c r="A205" s="48">
        <v>45450</v>
      </c>
      <c r="B205" s="49" t="str">
        <f t="shared" si="6"/>
        <v/>
      </c>
      <c r="C205" s="19"/>
      <c r="D205" s="16" t="s">
        <v>321</v>
      </c>
      <c r="E205" s="16" t="s">
        <v>321</v>
      </c>
      <c r="F205" s="54">
        <v>46847</v>
      </c>
      <c r="G205" s="55" t="s">
        <v>290</v>
      </c>
      <c r="H205" s="180" t="s">
        <v>268</v>
      </c>
      <c r="I205" s="41" t="s">
        <v>41</v>
      </c>
      <c r="J205" s="41" t="s">
        <v>41</v>
      </c>
      <c r="K205" s="41" t="s">
        <v>41</v>
      </c>
      <c r="L205" s="162" t="s">
        <v>41</v>
      </c>
      <c r="M205" s="162" t="s">
        <v>41</v>
      </c>
      <c r="N205" s="152" t="s">
        <v>41</v>
      </c>
      <c r="O205" s="172" t="s">
        <v>431</v>
      </c>
      <c r="P205" s="172" t="s">
        <v>431</v>
      </c>
      <c r="Q205" s="15"/>
      <c r="R205" s="15"/>
      <c r="S205" s="15"/>
      <c r="T205" s="15"/>
      <c r="U205" s="15"/>
      <c r="V205" s="15"/>
      <c r="W205" s="126">
        <v>5</v>
      </c>
      <c r="X205" s="126"/>
      <c r="Y205" s="15"/>
      <c r="Z205" s="157"/>
      <c r="AA205" s="309"/>
      <c r="AB205" s="309"/>
      <c r="AC205" s="153" t="s">
        <v>481</v>
      </c>
      <c r="AD205" s="157">
        <v>1</v>
      </c>
      <c r="AE205" s="15" t="s">
        <v>36</v>
      </c>
      <c r="AF205" s="208" t="s">
        <v>98</v>
      </c>
      <c r="AG205" s="150"/>
    </row>
    <row r="206" spans="1:33" x14ac:dyDescent="0.4">
      <c r="A206" s="48">
        <v>45450</v>
      </c>
      <c r="B206" s="49" t="str">
        <f t="shared" si="6"/>
        <v/>
      </c>
      <c r="C206" s="19"/>
      <c r="D206" s="16" t="s">
        <v>321</v>
      </c>
      <c r="E206" s="16" t="s">
        <v>321</v>
      </c>
      <c r="F206" s="23">
        <v>46883</v>
      </c>
      <c r="G206" s="29" t="s">
        <v>123</v>
      </c>
      <c r="H206" s="156" t="s">
        <v>117</v>
      </c>
      <c r="I206" s="82"/>
      <c r="J206" s="82"/>
      <c r="K206" s="82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60" t="s">
        <v>41</v>
      </c>
      <c r="W206" s="309">
        <v>5</v>
      </c>
      <c r="X206" s="309"/>
      <c r="Y206" s="209"/>
      <c r="Z206" s="230"/>
      <c r="AA206" s="153" t="s">
        <v>547</v>
      </c>
      <c r="AB206" s="174">
        <v>0.6</v>
      </c>
      <c r="AC206" s="153" t="s">
        <v>49</v>
      </c>
      <c r="AD206" s="174">
        <v>0.4</v>
      </c>
      <c r="AE206" s="15" t="s">
        <v>36</v>
      </c>
      <c r="AF206" s="83" t="s">
        <v>118</v>
      </c>
      <c r="AG206" s="83"/>
    </row>
    <row r="207" spans="1:33" ht="32.4" x14ac:dyDescent="0.4">
      <c r="A207" s="48">
        <v>45450</v>
      </c>
      <c r="B207" s="49" t="str">
        <f t="shared" si="6"/>
        <v/>
      </c>
      <c r="C207" s="19"/>
      <c r="D207" s="16" t="s">
        <v>321</v>
      </c>
      <c r="E207" s="16" t="s">
        <v>321</v>
      </c>
      <c r="F207" s="20">
        <v>43056</v>
      </c>
      <c r="G207" s="32" t="s">
        <v>246</v>
      </c>
      <c r="H207" s="69" t="s">
        <v>304</v>
      </c>
      <c r="I207" s="305"/>
      <c r="J207" s="305"/>
      <c r="K207" s="305"/>
      <c r="L207" s="176"/>
      <c r="M207" s="176"/>
      <c r="N207" s="15"/>
      <c r="O207" s="172" t="s">
        <v>487</v>
      </c>
      <c r="P207" s="172">
        <v>5</v>
      </c>
      <c r="Q207" s="15"/>
      <c r="R207" s="173">
        <v>7</v>
      </c>
      <c r="S207" s="15"/>
      <c r="T207" s="15"/>
      <c r="U207" s="15"/>
      <c r="V207" s="15"/>
      <c r="W207" s="153">
        <v>5</v>
      </c>
      <c r="X207" s="153"/>
      <c r="Y207" s="153"/>
      <c r="Z207" s="155"/>
      <c r="AA207" s="153"/>
      <c r="AB207" s="153"/>
      <c r="AC207" s="153" t="s">
        <v>59</v>
      </c>
      <c r="AD207" s="155">
        <v>1</v>
      </c>
      <c r="AE207" s="15" t="s">
        <v>36</v>
      </c>
      <c r="AF207" s="39" t="s">
        <v>572</v>
      </c>
      <c r="AG207" s="39"/>
    </row>
    <row r="208" spans="1:33" ht="32.4" x14ac:dyDescent="0.4">
      <c r="A208" s="48">
        <v>45450</v>
      </c>
      <c r="B208" s="49" t="str">
        <f t="shared" si="6"/>
        <v/>
      </c>
      <c r="C208" s="19"/>
      <c r="D208" s="16" t="s">
        <v>321</v>
      </c>
      <c r="E208" s="16" t="s">
        <v>321</v>
      </c>
      <c r="F208" s="27">
        <v>43082</v>
      </c>
      <c r="G208" s="31" t="s">
        <v>558</v>
      </c>
      <c r="H208" s="161" t="s">
        <v>139</v>
      </c>
      <c r="I208" s="41" t="s">
        <v>97</v>
      </c>
      <c r="J208" s="41" t="s">
        <v>41</v>
      </c>
      <c r="K208" s="41" t="s">
        <v>41</v>
      </c>
      <c r="L208" s="15"/>
      <c r="M208" s="15"/>
      <c r="N208" s="15"/>
      <c r="O208" s="15"/>
      <c r="P208" s="15"/>
      <c r="Q208" s="173" t="s">
        <v>41</v>
      </c>
      <c r="R208" s="173" t="s">
        <v>41</v>
      </c>
      <c r="S208" s="15"/>
      <c r="T208" s="15"/>
      <c r="U208" s="15"/>
      <c r="V208" s="15"/>
      <c r="W208" s="126">
        <v>5</v>
      </c>
      <c r="X208" s="126"/>
      <c r="Y208" s="15"/>
      <c r="Z208" s="157"/>
      <c r="AA208" s="309"/>
      <c r="AB208" s="166"/>
      <c r="AC208" s="69" t="s">
        <v>59</v>
      </c>
      <c r="AD208" s="165">
        <v>1</v>
      </c>
      <c r="AE208" s="69" t="s">
        <v>453</v>
      </c>
      <c r="AF208" s="38" t="s">
        <v>185</v>
      </c>
      <c r="AG208" s="39"/>
    </row>
    <row r="209" spans="1:33" ht="32.4" x14ac:dyDescent="0.4">
      <c r="A209" s="48">
        <v>45450</v>
      </c>
      <c r="B209" s="49" t="str">
        <f t="shared" si="6"/>
        <v/>
      </c>
      <c r="C209" s="19"/>
      <c r="D209" s="16" t="s">
        <v>321</v>
      </c>
      <c r="E209" s="16" t="s">
        <v>321</v>
      </c>
      <c r="F209" s="23">
        <v>47723</v>
      </c>
      <c r="G209" s="29" t="s">
        <v>204</v>
      </c>
      <c r="H209" s="161" t="s">
        <v>302</v>
      </c>
      <c r="I209" s="42"/>
      <c r="J209" s="42"/>
      <c r="K209" s="42"/>
      <c r="L209" s="15"/>
      <c r="M209" s="15"/>
      <c r="N209" s="15"/>
      <c r="O209" s="15"/>
      <c r="P209" s="15"/>
      <c r="Q209" s="15"/>
      <c r="R209" s="15"/>
      <c r="S209" s="163" t="s">
        <v>205</v>
      </c>
      <c r="T209" s="163" t="s">
        <v>205</v>
      </c>
      <c r="U209" s="164" t="s">
        <v>66</v>
      </c>
      <c r="V209" s="231" t="s">
        <v>72</v>
      </c>
      <c r="W209" s="126">
        <v>5</v>
      </c>
      <c r="X209" s="126"/>
      <c r="Y209" s="15"/>
      <c r="Z209" s="157"/>
      <c r="AA209" s="229" t="s">
        <v>500</v>
      </c>
      <c r="AB209" s="157">
        <v>0.33329999999999999</v>
      </c>
      <c r="AC209" s="15" t="s">
        <v>59</v>
      </c>
      <c r="AD209" s="157">
        <v>0.66669999999999996</v>
      </c>
      <c r="AE209" s="15" t="s">
        <v>36</v>
      </c>
      <c r="AF209" s="38" t="s">
        <v>149</v>
      </c>
      <c r="AG209" s="39"/>
    </row>
    <row r="210" spans="1:33" x14ac:dyDescent="0.4">
      <c r="A210" s="48">
        <v>45450</v>
      </c>
      <c r="B210" s="49" t="str">
        <f t="shared" si="6"/>
        <v/>
      </c>
      <c r="C210" s="19"/>
      <c r="D210" s="16" t="s">
        <v>321</v>
      </c>
      <c r="E210" s="16" t="s">
        <v>321</v>
      </c>
      <c r="F210" s="23">
        <v>46919</v>
      </c>
      <c r="G210" s="29" t="s">
        <v>429</v>
      </c>
      <c r="H210" s="69" t="s">
        <v>560</v>
      </c>
      <c r="I210" s="42"/>
      <c r="J210" s="42"/>
      <c r="K210" s="42"/>
      <c r="L210" s="15"/>
      <c r="M210" s="15"/>
      <c r="N210" s="15"/>
      <c r="O210" s="172">
        <v>4</v>
      </c>
      <c r="P210" s="15"/>
      <c r="Q210" s="15"/>
      <c r="R210" s="15"/>
      <c r="S210" s="15"/>
      <c r="T210" s="15"/>
      <c r="U210" s="15"/>
      <c r="V210" s="15"/>
      <c r="W210" s="126">
        <v>5</v>
      </c>
      <c r="X210" s="126"/>
      <c r="Y210" s="15"/>
      <c r="Z210" s="157"/>
      <c r="AA210" s="15"/>
      <c r="AB210" s="165"/>
      <c r="AC210" s="153" t="s">
        <v>36</v>
      </c>
      <c r="AD210" s="153" t="s">
        <v>36</v>
      </c>
      <c r="AE210" s="153" t="s">
        <v>36</v>
      </c>
      <c r="AF210" s="39" t="s">
        <v>563</v>
      </c>
      <c r="AG210" s="205"/>
    </row>
    <row r="211" spans="1:33" s="4" customFormat="1" ht="32.4" x14ac:dyDescent="0.4">
      <c r="A211" s="48">
        <v>45450</v>
      </c>
      <c r="B211" s="49" t="str">
        <f t="shared" si="6"/>
        <v/>
      </c>
      <c r="C211" s="19"/>
      <c r="D211" s="16" t="s">
        <v>321</v>
      </c>
      <c r="E211" s="16" t="s">
        <v>321</v>
      </c>
      <c r="F211" s="23">
        <v>43027</v>
      </c>
      <c r="G211" s="29" t="s">
        <v>427</v>
      </c>
      <c r="H211" s="161" t="s">
        <v>448</v>
      </c>
      <c r="I211" s="42"/>
      <c r="J211" s="42"/>
      <c r="K211" s="305"/>
      <c r="L211" s="15"/>
      <c r="M211" s="15"/>
      <c r="N211" s="15"/>
      <c r="O211" s="172">
        <v>4</v>
      </c>
      <c r="P211" s="15"/>
      <c r="Q211" s="15"/>
      <c r="R211" s="15"/>
      <c r="S211" s="15"/>
      <c r="T211" s="15"/>
      <c r="U211" s="15"/>
      <c r="V211" s="15"/>
      <c r="W211" s="126">
        <v>5</v>
      </c>
      <c r="X211" s="126"/>
      <c r="Y211" s="15"/>
      <c r="Z211" s="157"/>
      <c r="AA211" s="15"/>
      <c r="AB211" s="157"/>
      <c r="AC211" s="153" t="s">
        <v>35</v>
      </c>
      <c r="AD211" s="157">
        <v>1</v>
      </c>
      <c r="AE211" s="15" t="s">
        <v>36</v>
      </c>
      <c r="AF211" s="101" t="s">
        <v>659</v>
      </c>
      <c r="AG211" s="101" t="s">
        <v>660</v>
      </c>
    </row>
    <row r="212" spans="1:33" x14ac:dyDescent="0.4">
      <c r="A212" s="48">
        <v>45450</v>
      </c>
      <c r="B212" s="49" t="str">
        <f t="shared" si="6"/>
        <v/>
      </c>
      <c r="C212" s="19"/>
      <c r="D212" s="16" t="s">
        <v>321</v>
      </c>
      <c r="E212" s="16" t="s">
        <v>321</v>
      </c>
      <c r="F212" s="20">
        <v>43021</v>
      </c>
      <c r="G212" s="32" t="s">
        <v>438</v>
      </c>
      <c r="H212" s="69" t="s">
        <v>515</v>
      </c>
      <c r="I212" s="42"/>
      <c r="J212" s="42"/>
      <c r="K212" s="41">
        <v>3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309">
        <v>5</v>
      </c>
      <c r="X212" s="309"/>
      <c r="Y212" s="153" t="s">
        <v>533</v>
      </c>
      <c r="Z212" s="174">
        <v>0.1666</v>
      </c>
      <c r="AA212" s="167" t="s">
        <v>383</v>
      </c>
      <c r="AB212" s="174">
        <v>0.5</v>
      </c>
      <c r="AC212" s="17" t="s">
        <v>59</v>
      </c>
      <c r="AD212" s="174">
        <v>0.5</v>
      </c>
      <c r="AE212" s="153" t="s">
        <v>534</v>
      </c>
      <c r="AF212" s="38" t="s">
        <v>81</v>
      </c>
      <c r="AG212" s="39"/>
    </row>
    <row r="213" spans="1:33" s="4" customFormat="1" ht="81" x14ac:dyDescent="0.4">
      <c r="A213" s="48">
        <v>45450</v>
      </c>
      <c r="B213" s="49" t="str">
        <f t="shared" si="6"/>
        <v/>
      </c>
      <c r="C213" s="19"/>
      <c r="D213" s="16" t="s">
        <v>321</v>
      </c>
      <c r="E213" s="16" t="s">
        <v>321</v>
      </c>
      <c r="F213" s="23">
        <v>43026</v>
      </c>
      <c r="G213" s="29" t="s">
        <v>250</v>
      </c>
      <c r="H213" s="161" t="s">
        <v>337</v>
      </c>
      <c r="I213" s="305"/>
      <c r="J213" s="305"/>
      <c r="K213" s="305"/>
      <c r="L213" s="15"/>
      <c r="M213" s="15"/>
      <c r="N213" s="15"/>
      <c r="O213" s="172" t="s">
        <v>487</v>
      </c>
      <c r="P213" s="307">
        <v>4</v>
      </c>
      <c r="Q213" s="15"/>
      <c r="R213" s="173">
        <v>3</v>
      </c>
      <c r="S213" s="15"/>
      <c r="T213" s="15"/>
      <c r="U213" s="15"/>
      <c r="V213" s="15"/>
      <c r="W213" s="15">
        <v>5</v>
      </c>
      <c r="X213" s="15"/>
      <c r="Y213" s="15"/>
      <c r="Z213" s="159"/>
      <c r="AA213" s="15"/>
      <c r="AB213" s="159"/>
      <c r="AC213" s="15" t="s">
        <v>575</v>
      </c>
      <c r="AD213" s="159">
        <v>1</v>
      </c>
      <c r="AE213" s="15" t="s">
        <v>36</v>
      </c>
      <c r="AF213" s="38" t="s">
        <v>302</v>
      </c>
      <c r="AG213" s="38"/>
    </row>
    <row r="214" spans="1:33" x14ac:dyDescent="0.4">
      <c r="A214" s="48">
        <v>45450</v>
      </c>
      <c r="B214" s="49" t="str">
        <f t="shared" si="6"/>
        <v/>
      </c>
      <c r="C214" s="19"/>
      <c r="D214" s="16" t="s">
        <v>321</v>
      </c>
      <c r="E214" s="16" t="s">
        <v>321</v>
      </c>
      <c r="F214" s="36">
        <v>46858</v>
      </c>
      <c r="G214" s="37" t="s">
        <v>87</v>
      </c>
      <c r="H214" s="156" t="s">
        <v>379</v>
      </c>
      <c r="I214" s="82"/>
      <c r="J214" s="82"/>
      <c r="K214" s="82"/>
      <c r="L214" s="15"/>
      <c r="M214" s="15"/>
      <c r="N214" s="152">
        <v>5</v>
      </c>
      <c r="O214" s="15"/>
      <c r="P214" s="15"/>
      <c r="Q214" s="15"/>
      <c r="R214" s="15"/>
      <c r="S214" s="15"/>
      <c r="T214" s="15"/>
      <c r="U214" s="15"/>
      <c r="V214" s="15"/>
      <c r="W214" s="126">
        <v>5</v>
      </c>
      <c r="X214" s="126"/>
      <c r="Y214" s="153"/>
      <c r="Z214" s="174"/>
      <c r="AA214" s="167" t="s">
        <v>466</v>
      </c>
      <c r="AB214" s="174">
        <v>1</v>
      </c>
      <c r="AC214" s="153" t="s">
        <v>36</v>
      </c>
      <c r="AD214" s="153" t="s">
        <v>36</v>
      </c>
      <c r="AE214" s="15" t="s">
        <v>36</v>
      </c>
      <c r="AF214" s="83" t="s">
        <v>380</v>
      </c>
      <c r="AG214" s="83"/>
    </row>
    <row r="215" spans="1:33" s="4" customFormat="1" x14ac:dyDescent="0.4">
      <c r="A215" s="48">
        <v>45450</v>
      </c>
      <c r="B215" s="49" t="str">
        <f t="shared" si="6"/>
        <v/>
      </c>
      <c r="C215" s="19"/>
      <c r="D215" s="16" t="s">
        <v>321</v>
      </c>
      <c r="E215" s="16" t="s">
        <v>321</v>
      </c>
      <c r="F215" s="23">
        <v>46921</v>
      </c>
      <c r="G215" s="29" t="s">
        <v>87</v>
      </c>
      <c r="H215" s="161" t="s">
        <v>549</v>
      </c>
      <c r="I215" s="42"/>
      <c r="J215" s="42"/>
      <c r="K215" s="42"/>
      <c r="L215" s="15"/>
      <c r="M215" s="15"/>
      <c r="N215" s="15"/>
      <c r="O215" s="172">
        <v>4</v>
      </c>
      <c r="P215" s="172">
        <v>4</v>
      </c>
      <c r="Q215" s="15"/>
      <c r="R215" s="15"/>
      <c r="S215" s="15"/>
      <c r="T215" s="15"/>
      <c r="U215" s="15"/>
      <c r="V215" s="15"/>
      <c r="W215" s="126">
        <v>5</v>
      </c>
      <c r="X215" s="126"/>
      <c r="Y215" s="15"/>
      <c r="Z215" s="157"/>
      <c r="AA215" s="17" t="s">
        <v>391</v>
      </c>
      <c r="AB215" s="174">
        <v>0.4</v>
      </c>
      <c r="AC215" s="15" t="s">
        <v>35</v>
      </c>
      <c r="AD215" s="157">
        <v>0.6</v>
      </c>
      <c r="AE215" s="15" t="s">
        <v>36</v>
      </c>
      <c r="AF215" s="38" t="s">
        <v>81</v>
      </c>
      <c r="AG215" s="205"/>
    </row>
    <row r="216" spans="1:33" x14ac:dyDescent="0.4">
      <c r="A216" s="48">
        <v>45450</v>
      </c>
      <c r="B216" s="49" t="str">
        <f t="shared" si="6"/>
        <v/>
      </c>
      <c r="C216" s="19"/>
      <c r="D216" s="16" t="s">
        <v>321</v>
      </c>
      <c r="E216" s="16" t="s">
        <v>321</v>
      </c>
      <c r="F216" s="20">
        <v>46858</v>
      </c>
      <c r="G216" s="32" t="s">
        <v>87</v>
      </c>
      <c r="H216" s="161" t="s">
        <v>272</v>
      </c>
      <c r="I216" s="305"/>
      <c r="J216" s="305"/>
      <c r="K216" s="305"/>
      <c r="L216" s="15"/>
      <c r="M216" s="15"/>
      <c r="N216" s="15"/>
      <c r="O216" s="15"/>
      <c r="P216" s="15"/>
      <c r="Q216" s="15"/>
      <c r="R216" s="15"/>
      <c r="S216" s="163" t="s">
        <v>205</v>
      </c>
      <c r="T216" s="163" t="s">
        <v>205</v>
      </c>
      <c r="U216" s="164" t="s">
        <v>66</v>
      </c>
      <c r="V216" s="15"/>
      <c r="W216" s="309">
        <v>5</v>
      </c>
      <c r="X216" s="309"/>
      <c r="Y216" s="15"/>
      <c r="Z216" s="157"/>
      <c r="AA216" s="15" t="s">
        <v>309</v>
      </c>
      <c r="AB216" s="157">
        <v>1</v>
      </c>
      <c r="AC216" s="15" t="s">
        <v>36</v>
      </c>
      <c r="AD216" s="15" t="s">
        <v>36</v>
      </c>
      <c r="AE216" s="15" t="s">
        <v>36</v>
      </c>
      <c r="AF216" s="205" t="s">
        <v>167</v>
      </c>
      <c r="AG216" s="220"/>
    </row>
    <row r="217" spans="1:33" x14ac:dyDescent="0.4">
      <c r="A217" s="48">
        <v>45450</v>
      </c>
      <c r="B217" s="49"/>
      <c r="C217" s="53"/>
      <c r="D217" s="16" t="s">
        <v>321</v>
      </c>
      <c r="E217" s="16" t="s">
        <v>321</v>
      </c>
      <c r="F217" s="23">
        <v>45182</v>
      </c>
      <c r="G217" s="24" t="s">
        <v>569</v>
      </c>
      <c r="H217" s="69" t="s">
        <v>570</v>
      </c>
      <c r="I217" s="41">
        <v>6</v>
      </c>
      <c r="J217" s="41">
        <v>6</v>
      </c>
      <c r="K217" s="41">
        <v>6</v>
      </c>
      <c r="L217" s="162">
        <v>6</v>
      </c>
      <c r="M217" s="232"/>
      <c r="N217" s="152">
        <v>4</v>
      </c>
      <c r="O217" s="15"/>
      <c r="P217" s="15"/>
      <c r="Q217" s="149"/>
      <c r="R217" s="149"/>
      <c r="S217" s="149"/>
      <c r="T217" s="149"/>
      <c r="U217" s="15"/>
      <c r="V217" s="15"/>
      <c r="W217" s="153">
        <v>2.5</v>
      </c>
      <c r="X217" s="15" t="s">
        <v>34</v>
      </c>
      <c r="Y217" s="153"/>
      <c r="Z217" s="155"/>
      <c r="AA217" s="153"/>
      <c r="AB217" s="153"/>
      <c r="AC217" s="153" t="s">
        <v>46</v>
      </c>
      <c r="AD217" s="174">
        <v>1</v>
      </c>
      <c r="AE217" s="15" t="s">
        <v>36</v>
      </c>
      <c r="AF217" s="38" t="s">
        <v>253</v>
      </c>
      <c r="AG217" s="39"/>
    </row>
    <row r="218" spans="1:33" x14ac:dyDescent="0.4">
      <c r="A218" s="48">
        <v>45450</v>
      </c>
      <c r="B218" s="49" t="str">
        <f>IF(C218="","",C218)</f>
        <v/>
      </c>
      <c r="C218" s="53"/>
      <c r="D218" s="16" t="s">
        <v>321</v>
      </c>
      <c r="E218" s="16" t="s">
        <v>321</v>
      </c>
      <c r="F218" s="23">
        <v>45182</v>
      </c>
      <c r="G218" s="24" t="s">
        <v>568</v>
      </c>
      <c r="H218" s="180" t="s">
        <v>387</v>
      </c>
      <c r="I218" s="41">
        <v>6</v>
      </c>
      <c r="J218" s="41">
        <v>6</v>
      </c>
      <c r="K218" s="41">
        <v>6</v>
      </c>
      <c r="L218" s="162">
        <v>6</v>
      </c>
      <c r="M218" s="232"/>
      <c r="N218" s="152">
        <v>4</v>
      </c>
      <c r="O218" s="15"/>
      <c r="P218" s="15"/>
      <c r="Q218" s="149"/>
      <c r="R218" s="149"/>
      <c r="S218" s="149"/>
      <c r="T218" s="149"/>
      <c r="U218" s="15"/>
      <c r="V218" s="15"/>
      <c r="W218" s="153">
        <v>2.5</v>
      </c>
      <c r="X218" s="15" t="s">
        <v>34</v>
      </c>
      <c r="Y218" s="15"/>
      <c r="Z218" s="159"/>
      <c r="AA218" s="15"/>
      <c r="AB218" s="15"/>
      <c r="AC218" s="16" t="s">
        <v>46</v>
      </c>
      <c r="AD218" s="157">
        <v>1</v>
      </c>
      <c r="AE218" s="15" t="s">
        <v>36</v>
      </c>
      <c r="AF218" s="38" t="s">
        <v>63</v>
      </c>
      <c r="AG218" s="114"/>
    </row>
    <row r="219" spans="1:33" ht="19.8" customHeight="1" x14ac:dyDescent="0.4">
      <c r="A219" s="48">
        <v>45450</v>
      </c>
      <c r="B219" s="49"/>
      <c r="C219" s="53"/>
      <c r="D219" s="16" t="s">
        <v>321</v>
      </c>
      <c r="E219" s="16" t="s">
        <v>321</v>
      </c>
      <c r="F219" s="20">
        <v>45182</v>
      </c>
      <c r="G219" s="21" t="s">
        <v>522</v>
      </c>
      <c r="H219" s="161" t="s">
        <v>138</v>
      </c>
      <c r="I219" s="41">
        <v>6</v>
      </c>
      <c r="J219" s="41">
        <v>6</v>
      </c>
      <c r="K219" s="41">
        <v>6</v>
      </c>
      <c r="L219" s="162">
        <v>6</v>
      </c>
      <c r="M219" s="232"/>
      <c r="N219" s="152">
        <v>4</v>
      </c>
      <c r="O219" s="15"/>
      <c r="P219" s="15"/>
      <c r="Q219" s="149"/>
      <c r="R219" s="149"/>
      <c r="S219" s="149"/>
      <c r="T219" s="149"/>
      <c r="U219" s="15"/>
      <c r="V219" s="15"/>
      <c r="W219" s="153">
        <v>2.5</v>
      </c>
      <c r="X219" s="15" t="s">
        <v>34</v>
      </c>
      <c r="Y219" s="153"/>
      <c r="Z219" s="155"/>
      <c r="AA219" s="153"/>
      <c r="AB219" s="153"/>
      <c r="AC219" s="153" t="s">
        <v>35</v>
      </c>
      <c r="AD219" s="174">
        <v>1</v>
      </c>
      <c r="AE219" s="15" t="s">
        <v>36</v>
      </c>
      <c r="AF219" s="38" t="s">
        <v>253</v>
      </c>
      <c r="AG219" s="39"/>
    </row>
    <row r="220" spans="1:33" s="4" customFormat="1" ht="32.4" x14ac:dyDescent="0.4">
      <c r="A220" s="48">
        <v>45450</v>
      </c>
      <c r="B220" s="49" t="str">
        <f>IF(C220="","",C220)</f>
        <v/>
      </c>
      <c r="C220" s="53"/>
      <c r="D220" s="16" t="s">
        <v>321</v>
      </c>
      <c r="E220" s="16" t="s">
        <v>321</v>
      </c>
      <c r="F220" s="23">
        <v>45182</v>
      </c>
      <c r="G220" s="24" t="s">
        <v>491</v>
      </c>
      <c r="H220" s="182" t="s">
        <v>479</v>
      </c>
      <c r="I220" s="41">
        <v>6</v>
      </c>
      <c r="J220" s="41">
        <v>6</v>
      </c>
      <c r="K220" s="41">
        <v>6</v>
      </c>
      <c r="L220" s="162">
        <v>6</v>
      </c>
      <c r="M220" s="232"/>
      <c r="N220" s="152">
        <v>4</v>
      </c>
      <c r="O220" s="15"/>
      <c r="P220" s="15"/>
      <c r="Q220" s="149"/>
      <c r="R220" s="149"/>
      <c r="S220" s="149"/>
      <c r="T220" s="149"/>
      <c r="U220" s="15"/>
      <c r="V220" s="15"/>
      <c r="W220" s="153">
        <v>2.5</v>
      </c>
      <c r="X220" s="15" t="s">
        <v>34</v>
      </c>
      <c r="Y220" s="153"/>
      <c r="Z220" s="155"/>
      <c r="AA220" s="153"/>
      <c r="AB220" s="153"/>
      <c r="AC220" s="153" t="s">
        <v>35</v>
      </c>
      <c r="AD220" s="174">
        <v>1</v>
      </c>
      <c r="AE220" s="15" t="s">
        <v>36</v>
      </c>
      <c r="AF220" s="38" t="s">
        <v>253</v>
      </c>
      <c r="AG220" s="39"/>
    </row>
    <row r="221" spans="1:33" s="4" customFormat="1" x14ac:dyDescent="0.4">
      <c r="A221" s="48">
        <v>45450</v>
      </c>
      <c r="B221" s="49"/>
      <c r="C221" s="53"/>
      <c r="D221" s="16" t="s">
        <v>321</v>
      </c>
      <c r="E221" s="16" t="s">
        <v>321</v>
      </c>
      <c r="F221" s="23">
        <v>45182</v>
      </c>
      <c r="G221" s="24" t="s">
        <v>566</v>
      </c>
      <c r="H221" s="161" t="s">
        <v>43</v>
      </c>
      <c r="I221" s="41">
        <v>6</v>
      </c>
      <c r="J221" s="41">
        <v>6</v>
      </c>
      <c r="K221" s="41">
        <v>6</v>
      </c>
      <c r="L221" s="162">
        <v>6</v>
      </c>
      <c r="M221" s="232"/>
      <c r="N221" s="152">
        <v>4</v>
      </c>
      <c r="O221" s="15"/>
      <c r="P221" s="15"/>
      <c r="Q221" s="149"/>
      <c r="R221" s="149"/>
      <c r="S221" s="149"/>
      <c r="T221" s="149"/>
      <c r="U221" s="15"/>
      <c r="V221" s="15"/>
      <c r="W221" s="153">
        <v>2.5</v>
      </c>
      <c r="X221" s="15" t="s">
        <v>34</v>
      </c>
      <c r="Y221" s="15"/>
      <c r="Z221" s="159"/>
      <c r="AA221" s="15"/>
      <c r="AB221" s="15"/>
      <c r="AC221" s="15" t="s">
        <v>46</v>
      </c>
      <c r="AD221" s="157">
        <v>1</v>
      </c>
      <c r="AE221" s="15" t="s">
        <v>36</v>
      </c>
      <c r="AF221" s="38" t="s">
        <v>253</v>
      </c>
      <c r="AG221" s="39"/>
    </row>
    <row r="222" spans="1:33" x14ac:dyDescent="0.4">
      <c r="A222" s="48">
        <v>45450</v>
      </c>
      <c r="B222" s="49" t="str">
        <f>IF(C222="","",C222)</f>
        <v/>
      </c>
      <c r="C222" s="53"/>
      <c r="D222" s="16" t="s">
        <v>321</v>
      </c>
      <c r="E222" s="16" t="s">
        <v>321</v>
      </c>
      <c r="F222" s="23">
        <v>45182</v>
      </c>
      <c r="G222" s="24" t="s">
        <v>494</v>
      </c>
      <c r="H222" s="16" t="s">
        <v>296</v>
      </c>
      <c r="I222" s="41">
        <v>6</v>
      </c>
      <c r="J222" s="41">
        <v>6</v>
      </c>
      <c r="K222" s="41">
        <v>6</v>
      </c>
      <c r="L222" s="162">
        <v>6</v>
      </c>
      <c r="M222" s="232"/>
      <c r="N222" s="152">
        <v>4</v>
      </c>
      <c r="O222" s="15"/>
      <c r="P222" s="15"/>
      <c r="Q222" s="149"/>
      <c r="R222" s="149"/>
      <c r="S222" s="149"/>
      <c r="T222" s="149"/>
      <c r="U222" s="15"/>
      <c r="V222" s="15"/>
      <c r="W222" s="153">
        <v>2.5</v>
      </c>
      <c r="X222" s="15" t="s">
        <v>34</v>
      </c>
      <c r="Y222" s="15"/>
      <c r="Z222" s="159"/>
      <c r="AA222" s="15"/>
      <c r="AB222" s="15"/>
      <c r="AC222" s="15" t="s">
        <v>35</v>
      </c>
      <c r="AD222" s="157">
        <v>1</v>
      </c>
      <c r="AE222" s="15" t="s">
        <v>36</v>
      </c>
      <c r="AF222" s="38" t="s">
        <v>253</v>
      </c>
      <c r="AG222" s="39"/>
    </row>
    <row r="223" spans="1:33" s="4" customFormat="1" x14ac:dyDescent="0.4">
      <c r="A223" s="48">
        <v>45450</v>
      </c>
      <c r="B223" s="76"/>
      <c r="C223" s="19"/>
      <c r="D223" s="16" t="s">
        <v>321</v>
      </c>
      <c r="E223" s="16" t="s">
        <v>321</v>
      </c>
      <c r="F223" s="25">
        <v>45182</v>
      </c>
      <c r="G223" s="77" t="s">
        <v>496</v>
      </c>
      <c r="H223" s="16" t="s">
        <v>275</v>
      </c>
      <c r="I223" s="185">
        <v>6</v>
      </c>
      <c r="J223" s="185">
        <v>6</v>
      </c>
      <c r="K223" s="41">
        <v>6</v>
      </c>
      <c r="L223" s="194">
        <v>6</v>
      </c>
      <c r="M223" s="117"/>
      <c r="N223" s="196">
        <v>4</v>
      </c>
      <c r="O223" s="148"/>
      <c r="P223" s="148"/>
      <c r="Q223" s="195"/>
      <c r="R223" s="195"/>
      <c r="S223" s="195"/>
      <c r="T223" s="195"/>
      <c r="U223" s="148"/>
      <c r="V223" s="148"/>
      <c r="W223" s="17">
        <v>2.5</v>
      </c>
      <c r="X223" s="148" t="s">
        <v>34</v>
      </c>
      <c r="Y223" s="148"/>
      <c r="Z223" s="233"/>
      <c r="AA223" s="148"/>
      <c r="AB223" s="148"/>
      <c r="AC223" s="148" t="s">
        <v>35</v>
      </c>
      <c r="AD223" s="197">
        <v>1</v>
      </c>
      <c r="AE223" s="148" t="s">
        <v>36</v>
      </c>
      <c r="AF223" s="38" t="s">
        <v>253</v>
      </c>
      <c r="AG223" s="220"/>
    </row>
    <row r="224" spans="1:33" x14ac:dyDescent="0.4">
      <c r="A224" s="48">
        <v>45450</v>
      </c>
      <c r="B224" s="49" t="str">
        <f>IF(C224="","",C224)</f>
        <v/>
      </c>
      <c r="C224" s="53"/>
      <c r="D224" s="16" t="s">
        <v>321</v>
      </c>
      <c r="E224" s="16" t="s">
        <v>321</v>
      </c>
      <c r="F224" s="23">
        <v>451811</v>
      </c>
      <c r="G224" s="24" t="s">
        <v>567</v>
      </c>
      <c r="H224" s="180" t="s">
        <v>387</v>
      </c>
      <c r="I224" s="41">
        <v>5</v>
      </c>
      <c r="J224" s="41">
        <v>5</v>
      </c>
      <c r="K224" s="41">
        <v>4</v>
      </c>
      <c r="L224" s="162">
        <v>5</v>
      </c>
      <c r="M224" s="232"/>
      <c r="N224" s="152">
        <v>3</v>
      </c>
      <c r="O224" s="15"/>
      <c r="P224" s="15"/>
      <c r="Q224" s="149"/>
      <c r="R224" s="149"/>
      <c r="S224" s="149"/>
      <c r="T224" s="149"/>
      <c r="U224" s="15"/>
      <c r="V224" s="15"/>
      <c r="W224" s="153">
        <v>2.5</v>
      </c>
      <c r="X224" s="15" t="s">
        <v>34</v>
      </c>
      <c r="Y224" s="15"/>
      <c r="Z224" s="159"/>
      <c r="AA224" s="15"/>
      <c r="AB224" s="15"/>
      <c r="AC224" s="16" t="s">
        <v>46</v>
      </c>
      <c r="AD224" s="157">
        <v>1</v>
      </c>
      <c r="AE224" s="15" t="s">
        <v>36</v>
      </c>
      <c r="AF224" s="38" t="s">
        <v>63</v>
      </c>
      <c r="AG224" s="176"/>
    </row>
    <row r="225" spans="1:33" ht="32.4" x14ac:dyDescent="0.4">
      <c r="A225" s="48">
        <v>45450</v>
      </c>
      <c r="B225" s="49" t="str">
        <f>IF(C225="","",C225)</f>
        <v/>
      </c>
      <c r="C225" s="53"/>
      <c r="D225" s="16" t="s">
        <v>321</v>
      </c>
      <c r="E225" s="16" t="s">
        <v>321</v>
      </c>
      <c r="F225" s="23">
        <v>451811</v>
      </c>
      <c r="G225" s="24" t="s">
        <v>492</v>
      </c>
      <c r="H225" s="182" t="s">
        <v>479</v>
      </c>
      <c r="I225" s="41">
        <v>5</v>
      </c>
      <c r="J225" s="41">
        <v>5</v>
      </c>
      <c r="K225" s="41">
        <v>4</v>
      </c>
      <c r="L225" s="162">
        <v>5</v>
      </c>
      <c r="M225" s="232"/>
      <c r="N225" s="152">
        <v>3</v>
      </c>
      <c r="O225" s="15"/>
      <c r="P225" s="15"/>
      <c r="Q225" s="149"/>
      <c r="R225" s="149"/>
      <c r="S225" s="149"/>
      <c r="T225" s="149"/>
      <c r="U225" s="15"/>
      <c r="V225" s="15"/>
      <c r="W225" s="153">
        <v>2.5</v>
      </c>
      <c r="X225" s="15" t="s">
        <v>34</v>
      </c>
      <c r="Y225" s="153"/>
      <c r="Z225" s="155"/>
      <c r="AA225" s="153"/>
      <c r="AB225" s="153"/>
      <c r="AC225" s="153" t="s">
        <v>35</v>
      </c>
      <c r="AD225" s="174">
        <v>1</v>
      </c>
      <c r="AE225" s="15" t="s">
        <v>36</v>
      </c>
      <c r="AF225" s="38" t="s">
        <v>253</v>
      </c>
      <c r="AG225" s="39"/>
    </row>
    <row r="226" spans="1:33" x14ac:dyDescent="0.4">
      <c r="A226" s="48">
        <v>45450</v>
      </c>
      <c r="B226" s="49" t="str">
        <f>IF(C226="","",C226)</f>
        <v/>
      </c>
      <c r="C226" s="53"/>
      <c r="D226" s="16" t="s">
        <v>321</v>
      </c>
      <c r="E226" s="16" t="s">
        <v>321</v>
      </c>
      <c r="F226" s="23">
        <v>451811</v>
      </c>
      <c r="G226" s="24" t="s">
        <v>495</v>
      </c>
      <c r="H226" s="16" t="s">
        <v>296</v>
      </c>
      <c r="I226" s="41">
        <v>5</v>
      </c>
      <c r="J226" s="41">
        <v>5</v>
      </c>
      <c r="K226" s="41">
        <v>4</v>
      </c>
      <c r="L226" s="162">
        <v>5</v>
      </c>
      <c r="M226" s="232"/>
      <c r="N226" s="152">
        <v>3</v>
      </c>
      <c r="O226" s="15"/>
      <c r="P226" s="15"/>
      <c r="Q226" s="149"/>
      <c r="R226" s="149"/>
      <c r="S226" s="149"/>
      <c r="T226" s="149"/>
      <c r="U226" s="15"/>
      <c r="V226" s="15"/>
      <c r="W226" s="153">
        <v>2.5</v>
      </c>
      <c r="X226" s="15" t="s">
        <v>34</v>
      </c>
      <c r="Y226" s="15"/>
      <c r="Z226" s="159"/>
      <c r="AA226" s="15"/>
      <c r="AB226" s="15"/>
      <c r="AC226" s="15" t="s">
        <v>35</v>
      </c>
      <c r="AD226" s="157">
        <v>1</v>
      </c>
      <c r="AE226" s="15" t="s">
        <v>36</v>
      </c>
      <c r="AF226" s="38" t="s">
        <v>253</v>
      </c>
      <c r="AG226" s="39"/>
    </row>
    <row r="227" spans="1:33" x14ac:dyDescent="0.4">
      <c r="A227" s="48">
        <v>45450</v>
      </c>
      <c r="B227" s="49"/>
      <c r="C227" s="53"/>
      <c r="D227" s="16" t="s">
        <v>321</v>
      </c>
      <c r="E227" s="16" t="s">
        <v>321</v>
      </c>
      <c r="F227" s="23">
        <v>451811</v>
      </c>
      <c r="G227" s="24" t="s">
        <v>493</v>
      </c>
      <c r="H227" s="180" t="s">
        <v>54</v>
      </c>
      <c r="I227" s="41">
        <v>5</v>
      </c>
      <c r="J227" s="41">
        <v>5</v>
      </c>
      <c r="K227" s="41">
        <v>4</v>
      </c>
      <c r="L227" s="162">
        <v>5</v>
      </c>
      <c r="M227" s="232"/>
      <c r="N227" s="152">
        <v>3</v>
      </c>
      <c r="O227" s="15"/>
      <c r="P227" s="15"/>
      <c r="Q227" s="149"/>
      <c r="R227" s="149"/>
      <c r="S227" s="149"/>
      <c r="T227" s="149"/>
      <c r="U227" s="15"/>
      <c r="V227" s="15"/>
      <c r="W227" s="153">
        <v>2.5</v>
      </c>
      <c r="X227" s="15" t="s">
        <v>34</v>
      </c>
      <c r="Y227" s="153"/>
      <c r="Z227" s="155"/>
      <c r="AA227" s="153"/>
      <c r="AB227" s="153"/>
      <c r="AC227" s="153" t="s">
        <v>574</v>
      </c>
      <c r="AD227" s="174">
        <v>1</v>
      </c>
      <c r="AE227" s="15" t="s">
        <v>36</v>
      </c>
      <c r="AF227" s="38" t="s">
        <v>253</v>
      </c>
      <c r="AG227" s="39"/>
    </row>
    <row r="228" spans="1:33" s="4" customFormat="1" x14ac:dyDescent="0.4">
      <c r="A228" s="48">
        <v>45450</v>
      </c>
      <c r="B228" s="49" t="str">
        <f>IF(C228="","",C228)</f>
        <v/>
      </c>
      <c r="C228" s="19"/>
      <c r="D228" s="16" t="s">
        <v>321</v>
      </c>
      <c r="E228" s="16" t="s">
        <v>321</v>
      </c>
      <c r="F228" s="20">
        <v>46182</v>
      </c>
      <c r="G228" s="32" t="s">
        <v>343</v>
      </c>
      <c r="H228" s="161" t="s">
        <v>109</v>
      </c>
      <c r="I228" s="305"/>
      <c r="J228" s="305"/>
      <c r="K228" s="305"/>
      <c r="L228" s="15"/>
      <c r="M228" s="162">
        <v>5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26">
        <v>5</v>
      </c>
      <c r="X228" s="15" t="s">
        <v>34</v>
      </c>
      <c r="Y228" s="153"/>
      <c r="Z228" s="155"/>
      <c r="AA228" s="153"/>
      <c r="AB228" s="153"/>
      <c r="AC228" s="153" t="s">
        <v>35</v>
      </c>
      <c r="AD228" s="174">
        <v>1</v>
      </c>
      <c r="AE228" s="153" t="s">
        <v>36</v>
      </c>
      <c r="AF228" s="38" t="s">
        <v>40</v>
      </c>
      <c r="AG228" s="39"/>
    </row>
    <row r="229" spans="1:33" x14ac:dyDescent="0.4">
      <c r="A229" s="48">
        <v>45450</v>
      </c>
      <c r="B229" s="49"/>
      <c r="C229" s="19"/>
      <c r="D229" s="16" t="s">
        <v>321</v>
      </c>
      <c r="E229" s="16" t="s">
        <v>321</v>
      </c>
      <c r="F229" s="28">
        <v>46183</v>
      </c>
      <c r="G229" s="30" t="s">
        <v>209</v>
      </c>
      <c r="H229" s="161" t="s">
        <v>210</v>
      </c>
      <c r="I229" s="15"/>
      <c r="J229" s="15"/>
      <c r="K229" s="15"/>
      <c r="L229" s="15"/>
      <c r="M229" s="15"/>
      <c r="N229" s="15"/>
      <c r="O229" s="172">
        <v>4</v>
      </c>
      <c r="P229" s="15"/>
      <c r="Q229" s="173">
        <v>8</v>
      </c>
      <c r="R229" s="15"/>
      <c r="S229" s="15"/>
      <c r="T229" s="15"/>
      <c r="U229" s="15"/>
      <c r="V229" s="15"/>
      <c r="W229" s="126">
        <v>5</v>
      </c>
      <c r="X229" s="15" t="s">
        <v>34</v>
      </c>
      <c r="Y229" s="15"/>
      <c r="Z229" s="159"/>
      <c r="AA229" s="15"/>
      <c r="AB229" s="15"/>
      <c r="AC229" s="148" t="s">
        <v>46</v>
      </c>
      <c r="AD229" s="157">
        <v>1</v>
      </c>
      <c r="AE229" s="15" t="s">
        <v>36</v>
      </c>
      <c r="AF229" s="39" t="s">
        <v>503</v>
      </c>
      <c r="AG229" s="39"/>
    </row>
    <row r="230" spans="1:33" s="4" customFormat="1" x14ac:dyDescent="0.4">
      <c r="A230" s="48">
        <v>45450</v>
      </c>
      <c r="B230" s="49" t="str">
        <f>IF(C230="","",C230)</f>
        <v/>
      </c>
      <c r="C230" s="19"/>
      <c r="D230" s="16" t="s">
        <v>321</v>
      </c>
      <c r="E230" s="16" t="s">
        <v>321</v>
      </c>
      <c r="F230" s="20">
        <v>46186</v>
      </c>
      <c r="G230" s="21" t="s">
        <v>247</v>
      </c>
      <c r="H230" s="161" t="s">
        <v>245</v>
      </c>
      <c r="I230" s="15"/>
      <c r="J230" s="15"/>
      <c r="K230" s="15"/>
      <c r="L230" s="15"/>
      <c r="M230" s="15"/>
      <c r="N230" s="15"/>
      <c r="O230" s="15"/>
      <c r="P230" s="172">
        <v>7</v>
      </c>
      <c r="Q230" s="15"/>
      <c r="R230" s="217">
        <v>5</v>
      </c>
      <c r="S230" s="15"/>
      <c r="T230" s="15"/>
      <c r="U230" s="15"/>
      <c r="V230" s="15"/>
      <c r="W230" s="126">
        <v>5</v>
      </c>
      <c r="X230" s="15" t="s">
        <v>34</v>
      </c>
      <c r="Y230" s="15"/>
      <c r="Z230" s="159"/>
      <c r="AA230" s="15"/>
      <c r="AB230" s="15"/>
      <c r="AC230" s="15" t="s">
        <v>35</v>
      </c>
      <c r="AD230" s="157">
        <v>1</v>
      </c>
      <c r="AE230" s="15" t="s">
        <v>36</v>
      </c>
      <c r="AF230" s="38" t="s">
        <v>337</v>
      </c>
      <c r="AG230" s="39"/>
    </row>
    <row r="231" spans="1:33" ht="32.4" x14ac:dyDescent="0.4">
      <c r="A231" s="48">
        <v>45450</v>
      </c>
      <c r="B231" s="49"/>
      <c r="C231" s="19"/>
      <c r="D231" s="16" t="s">
        <v>321</v>
      </c>
      <c r="E231" s="16" t="s">
        <v>321</v>
      </c>
      <c r="F231" s="23">
        <v>46896</v>
      </c>
      <c r="G231" s="29" t="s">
        <v>298</v>
      </c>
      <c r="H231" s="69" t="s">
        <v>296</v>
      </c>
      <c r="I231" s="15"/>
      <c r="J231" s="41" t="s">
        <v>42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309">
        <v>5</v>
      </c>
      <c r="X231" s="309"/>
      <c r="Y231" s="15"/>
      <c r="Z231" s="157"/>
      <c r="AA231" s="309"/>
      <c r="AB231" s="309"/>
      <c r="AC231" s="15" t="s">
        <v>394</v>
      </c>
      <c r="AD231" s="157">
        <v>1</v>
      </c>
      <c r="AE231" s="15" t="s">
        <v>36</v>
      </c>
      <c r="AF231" s="38" t="s">
        <v>89</v>
      </c>
      <c r="AG231" s="38"/>
    </row>
    <row r="232" spans="1:33" ht="32.4" x14ac:dyDescent="0.4">
      <c r="A232" s="48">
        <v>45450</v>
      </c>
      <c r="B232" s="76" t="str">
        <f>IF(C232="","",C232)</f>
        <v/>
      </c>
      <c r="C232" s="19"/>
      <c r="D232" s="16" t="s">
        <v>321</v>
      </c>
      <c r="E232" s="16" t="s">
        <v>321</v>
      </c>
      <c r="F232" s="25">
        <v>46884</v>
      </c>
      <c r="G232" s="65" t="s">
        <v>223</v>
      </c>
      <c r="H232" s="180" t="s">
        <v>302</v>
      </c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231" t="s">
        <v>72</v>
      </c>
      <c r="W232" s="186">
        <v>5</v>
      </c>
      <c r="X232" s="186"/>
      <c r="Y232" s="16"/>
      <c r="Z232" s="234"/>
      <c r="AA232" s="235" t="s">
        <v>500</v>
      </c>
      <c r="AB232" s="234">
        <v>0.33</v>
      </c>
      <c r="AC232" s="16" t="s">
        <v>59</v>
      </c>
      <c r="AD232" s="197">
        <v>0.67</v>
      </c>
      <c r="AE232" s="148" t="s">
        <v>36</v>
      </c>
      <c r="AF232" s="190" t="s">
        <v>337</v>
      </c>
      <c r="AG232" s="190"/>
    </row>
    <row r="233" spans="1:33" x14ac:dyDescent="0.4">
      <c r="A233" s="48">
        <v>45450</v>
      </c>
      <c r="B233" s="49"/>
      <c r="C233" s="19"/>
      <c r="D233" s="16" t="s">
        <v>321</v>
      </c>
      <c r="E233" s="16" t="s">
        <v>321</v>
      </c>
      <c r="F233" s="60">
        <v>45262</v>
      </c>
      <c r="G233" s="29" t="s">
        <v>189</v>
      </c>
      <c r="H233" s="161" t="s">
        <v>81</v>
      </c>
      <c r="I233" s="305"/>
      <c r="J233" s="305"/>
      <c r="K233" s="305"/>
      <c r="L233" s="15"/>
      <c r="M233" s="162">
        <v>6</v>
      </c>
      <c r="N233" s="15"/>
      <c r="O233" s="172">
        <v>6</v>
      </c>
      <c r="P233" s="15"/>
      <c r="Q233" s="173">
        <v>6</v>
      </c>
      <c r="R233" s="15"/>
      <c r="S233" s="15"/>
      <c r="T233" s="15"/>
      <c r="U233" s="15"/>
      <c r="V233" s="15"/>
      <c r="W233" s="126">
        <v>5</v>
      </c>
      <c r="X233" s="126"/>
      <c r="Y233" s="15"/>
      <c r="Z233" s="157"/>
      <c r="AA233" s="126"/>
      <c r="AB233" s="126"/>
      <c r="AC233" s="15" t="s">
        <v>108</v>
      </c>
      <c r="AD233" s="157">
        <v>1</v>
      </c>
      <c r="AE233" s="15" t="s">
        <v>36</v>
      </c>
      <c r="AF233" s="208" t="s">
        <v>93</v>
      </c>
      <c r="AG233" s="205"/>
    </row>
    <row r="234" spans="1:33" s="4" customFormat="1" ht="32.4" x14ac:dyDescent="0.4">
      <c r="A234" s="48">
        <v>45450</v>
      </c>
      <c r="B234" s="49" t="str">
        <f>IF(C234="","",C234)</f>
        <v/>
      </c>
      <c r="C234" s="19"/>
      <c r="D234" s="16" t="s">
        <v>321</v>
      </c>
      <c r="E234" s="16" t="s">
        <v>321</v>
      </c>
      <c r="F234" s="20">
        <v>43051</v>
      </c>
      <c r="G234" s="37" t="s">
        <v>289</v>
      </c>
      <c r="H234" s="161" t="s">
        <v>509</v>
      </c>
      <c r="I234" s="41">
        <v>3</v>
      </c>
      <c r="J234" s="41">
        <v>3</v>
      </c>
      <c r="K234" s="41">
        <v>3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26">
        <v>5</v>
      </c>
      <c r="X234" s="126"/>
      <c r="Y234" s="15"/>
      <c r="Z234" s="157"/>
      <c r="AA234" s="126"/>
      <c r="AB234" s="126"/>
      <c r="AC234" s="15" t="s">
        <v>59</v>
      </c>
      <c r="AD234" s="157">
        <v>1</v>
      </c>
      <c r="AE234" s="15" t="s">
        <v>36</v>
      </c>
      <c r="AF234" s="38" t="s">
        <v>510</v>
      </c>
      <c r="AG234" s="39"/>
    </row>
    <row r="235" spans="1:33" x14ac:dyDescent="0.4">
      <c r="A235" s="48">
        <v>45450</v>
      </c>
      <c r="B235" s="49" t="str">
        <f>IF(C235="","",C235)</f>
        <v/>
      </c>
      <c r="C235" s="19"/>
      <c r="D235" s="16" t="s">
        <v>321</v>
      </c>
      <c r="E235" s="16" t="s">
        <v>321</v>
      </c>
      <c r="F235" s="20">
        <v>43051</v>
      </c>
      <c r="G235" s="37" t="s">
        <v>289</v>
      </c>
      <c r="H235" s="180" t="s">
        <v>268</v>
      </c>
      <c r="I235" s="305"/>
      <c r="J235" s="305"/>
      <c r="K235" s="305"/>
      <c r="L235" s="162">
        <v>3</v>
      </c>
      <c r="M235" s="162">
        <v>3</v>
      </c>
      <c r="N235" s="152">
        <v>3</v>
      </c>
      <c r="O235" s="15"/>
      <c r="P235" s="15"/>
      <c r="Q235" s="15"/>
      <c r="R235" s="15"/>
      <c r="S235" s="15"/>
      <c r="T235" s="15"/>
      <c r="U235" s="15"/>
      <c r="V235" s="15"/>
      <c r="W235" s="126">
        <v>5</v>
      </c>
      <c r="X235" s="126"/>
      <c r="Y235" s="15"/>
      <c r="Z235" s="157"/>
      <c r="AA235" s="309"/>
      <c r="AB235" s="309"/>
      <c r="AC235" s="15" t="s">
        <v>382</v>
      </c>
      <c r="AD235" s="157">
        <v>1</v>
      </c>
      <c r="AE235" s="15" t="s">
        <v>36</v>
      </c>
      <c r="AF235" s="38" t="s">
        <v>98</v>
      </c>
      <c r="AG235" s="38"/>
    </row>
    <row r="236" spans="1:33" ht="32.4" x14ac:dyDescent="0.4">
      <c r="A236" s="48">
        <v>45450</v>
      </c>
      <c r="B236" s="49" t="str">
        <f>IF(C236="","",C236)</f>
        <v/>
      </c>
      <c r="C236" s="19"/>
      <c r="D236" s="16" t="s">
        <v>321</v>
      </c>
      <c r="E236" s="16" t="s">
        <v>321</v>
      </c>
      <c r="F236" s="33">
        <v>44121</v>
      </c>
      <c r="G236" s="29" t="s">
        <v>269</v>
      </c>
      <c r="H236" s="161" t="s">
        <v>509</v>
      </c>
      <c r="I236" s="41">
        <v>4</v>
      </c>
      <c r="J236" s="41">
        <v>4</v>
      </c>
      <c r="K236" s="41">
        <v>4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26">
        <v>5</v>
      </c>
      <c r="X236" s="126"/>
      <c r="Y236" s="15"/>
      <c r="Z236" s="157"/>
      <c r="AA236" s="15" t="s">
        <v>365</v>
      </c>
      <c r="AB236" s="165">
        <v>0.3</v>
      </c>
      <c r="AC236" s="69" t="s">
        <v>59</v>
      </c>
      <c r="AD236" s="165">
        <v>0.7</v>
      </c>
      <c r="AE236" s="69"/>
      <c r="AF236" s="38" t="s">
        <v>510</v>
      </c>
      <c r="AG236" s="38"/>
    </row>
    <row r="237" spans="1:33" ht="32.4" x14ac:dyDescent="0.4">
      <c r="A237" s="48">
        <v>45450</v>
      </c>
      <c r="B237" s="49" t="str">
        <f>IF(C237="","",C237)</f>
        <v/>
      </c>
      <c r="C237" s="19"/>
      <c r="D237" s="16" t="s">
        <v>321</v>
      </c>
      <c r="E237" s="16" t="s">
        <v>321</v>
      </c>
      <c r="F237" s="20">
        <v>43051</v>
      </c>
      <c r="G237" s="37" t="s">
        <v>443</v>
      </c>
      <c r="H237" s="161" t="s">
        <v>509</v>
      </c>
      <c r="I237" s="15"/>
      <c r="J237" s="15"/>
      <c r="K237" s="15"/>
      <c r="L237" s="15" t="s">
        <v>300</v>
      </c>
      <c r="M237" s="15"/>
      <c r="N237" s="15"/>
      <c r="O237" s="172">
        <v>3</v>
      </c>
      <c r="P237" s="172" t="s">
        <v>431</v>
      </c>
      <c r="Q237" s="173">
        <v>3</v>
      </c>
      <c r="R237" s="173">
        <v>3</v>
      </c>
      <c r="S237" s="15"/>
      <c r="T237" s="15"/>
      <c r="U237" s="15"/>
      <c r="V237" s="15"/>
      <c r="W237" s="126">
        <v>5</v>
      </c>
      <c r="X237" s="126"/>
      <c r="Y237" s="15"/>
      <c r="Z237" s="157"/>
      <c r="AA237" s="309"/>
      <c r="AB237" s="309"/>
      <c r="AC237" s="15" t="s">
        <v>59</v>
      </c>
      <c r="AD237" s="157">
        <v>1</v>
      </c>
      <c r="AE237" s="15" t="s">
        <v>36</v>
      </c>
      <c r="AF237" s="38" t="s">
        <v>510</v>
      </c>
      <c r="AG237" s="39"/>
    </row>
    <row r="238" spans="1:33" ht="32.4" x14ac:dyDescent="0.4">
      <c r="A238" s="48">
        <v>45450</v>
      </c>
      <c r="B238" s="49" t="str">
        <f>IF(C238="","",C238)</f>
        <v/>
      </c>
      <c r="C238" s="19"/>
      <c r="D238" s="16" t="s">
        <v>321</v>
      </c>
      <c r="E238" s="16" t="s">
        <v>321</v>
      </c>
      <c r="F238" s="33">
        <v>44122</v>
      </c>
      <c r="G238" s="29" t="s">
        <v>404</v>
      </c>
      <c r="H238" s="161" t="s">
        <v>509</v>
      </c>
      <c r="I238" s="15"/>
      <c r="J238" s="15"/>
      <c r="K238" s="15"/>
      <c r="L238" s="15"/>
      <c r="M238" s="15"/>
      <c r="N238" s="15"/>
      <c r="O238" s="172">
        <v>4</v>
      </c>
      <c r="P238" s="172" t="s">
        <v>431</v>
      </c>
      <c r="Q238" s="15"/>
      <c r="R238" s="15"/>
      <c r="S238" s="15"/>
      <c r="T238" s="15"/>
      <c r="U238" s="15"/>
      <c r="V238" s="15"/>
      <c r="W238" s="126">
        <v>5</v>
      </c>
      <c r="X238" s="126"/>
      <c r="Y238" s="15"/>
      <c r="Z238" s="157"/>
      <c r="AA238" s="15" t="s">
        <v>365</v>
      </c>
      <c r="AB238" s="165">
        <v>0.3</v>
      </c>
      <c r="AC238" s="69" t="s">
        <v>59</v>
      </c>
      <c r="AD238" s="165">
        <v>0.7</v>
      </c>
      <c r="AE238" s="69"/>
      <c r="AF238" s="38" t="s">
        <v>510</v>
      </c>
      <c r="AG238" s="38"/>
    </row>
    <row r="239" spans="1:33" ht="32.4" x14ac:dyDescent="0.4">
      <c r="A239" s="48">
        <v>45450</v>
      </c>
      <c r="B239" s="49"/>
      <c r="C239" s="19"/>
      <c r="D239" s="16" t="s">
        <v>321</v>
      </c>
      <c r="E239" s="16" t="s">
        <v>321</v>
      </c>
      <c r="F239" s="54">
        <v>44232</v>
      </c>
      <c r="G239" s="55" t="s">
        <v>356</v>
      </c>
      <c r="H239" s="180" t="s">
        <v>301</v>
      </c>
      <c r="I239" s="305"/>
      <c r="J239" s="41">
        <v>4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26">
        <v>5</v>
      </c>
      <c r="X239" s="309"/>
      <c r="Y239" s="15"/>
      <c r="Z239" s="157"/>
      <c r="AA239" s="309"/>
      <c r="AB239" s="309"/>
      <c r="AC239" s="15" t="s">
        <v>323</v>
      </c>
      <c r="AD239" s="159" t="s">
        <v>506</v>
      </c>
      <c r="AE239" s="15" t="s">
        <v>36</v>
      </c>
      <c r="AF239" s="208" t="s">
        <v>151</v>
      </c>
      <c r="AG239" s="205"/>
    </row>
    <row r="240" spans="1:33" ht="81" x14ac:dyDescent="0.4">
      <c r="A240" s="48">
        <v>45450</v>
      </c>
      <c r="B240" s="49"/>
      <c r="C240" s="19"/>
      <c r="D240" s="16" t="s">
        <v>321</v>
      </c>
      <c r="E240" s="16" t="s">
        <v>321</v>
      </c>
      <c r="F240" s="54">
        <v>41102</v>
      </c>
      <c r="G240" s="55" t="s">
        <v>80</v>
      </c>
      <c r="H240" s="69" t="s">
        <v>508</v>
      </c>
      <c r="I240" s="41">
        <v>2</v>
      </c>
      <c r="J240" s="41">
        <v>2</v>
      </c>
      <c r="K240" s="41">
        <v>2</v>
      </c>
      <c r="L240" s="15"/>
      <c r="M240" s="15"/>
      <c r="N240" s="15"/>
      <c r="O240" s="172">
        <v>2</v>
      </c>
      <c r="P240" s="172">
        <v>2</v>
      </c>
      <c r="Q240" s="182">
        <v>2</v>
      </c>
      <c r="R240" s="182">
        <v>2</v>
      </c>
      <c r="S240" s="15"/>
      <c r="T240" s="15"/>
      <c r="U240" s="15"/>
      <c r="V240" s="15"/>
      <c r="W240" s="126">
        <v>2.5</v>
      </c>
      <c r="X240" s="15" t="s">
        <v>48</v>
      </c>
      <c r="Y240" s="15"/>
      <c r="Z240" s="159"/>
      <c r="AA240" s="15" t="s">
        <v>136</v>
      </c>
      <c r="AB240" s="236">
        <v>1</v>
      </c>
      <c r="AC240" s="15" t="s">
        <v>36</v>
      </c>
      <c r="AD240" s="157"/>
      <c r="AE240" s="15" t="s">
        <v>36</v>
      </c>
      <c r="AF240" s="208" t="s">
        <v>81</v>
      </c>
      <c r="AG240" s="205"/>
    </row>
    <row r="241" spans="1:33" x14ac:dyDescent="0.4">
      <c r="A241" s="48">
        <v>45450</v>
      </c>
      <c r="B241" s="49"/>
      <c r="C241" s="19"/>
      <c r="D241" s="16" t="s">
        <v>321</v>
      </c>
      <c r="E241" s="16" t="s">
        <v>321</v>
      </c>
      <c r="F241" s="54">
        <v>47716</v>
      </c>
      <c r="G241" s="55" t="s">
        <v>299</v>
      </c>
      <c r="H241" s="161" t="s">
        <v>81</v>
      </c>
      <c r="I241" s="305"/>
      <c r="J241" s="305"/>
      <c r="K241" s="305"/>
      <c r="L241" s="15"/>
      <c r="M241" s="15"/>
      <c r="N241" s="15"/>
      <c r="O241" s="15"/>
      <c r="P241" s="15"/>
      <c r="Q241" s="15"/>
      <c r="R241" s="15"/>
      <c r="S241" s="15"/>
      <c r="T241" s="15"/>
      <c r="U241" s="135" t="s">
        <v>112</v>
      </c>
      <c r="V241" s="15"/>
      <c r="W241" s="126">
        <v>5</v>
      </c>
      <c r="X241" s="126"/>
      <c r="Y241" s="15"/>
      <c r="Z241" s="157"/>
      <c r="AA241" s="309"/>
      <c r="AB241" s="309"/>
      <c r="AC241" s="15" t="s">
        <v>108</v>
      </c>
      <c r="AD241" s="157">
        <v>1</v>
      </c>
      <c r="AE241" s="15" t="s">
        <v>36</v>
      </c>
      <c r="AF241" s="208" t="s">
        <v>67</v>
      </c>
      <c r="AG241" s="205"/>
    </row>
    <row r="242" spans="1:33" x14ac:dyDescent="0.4">
      <c r="A242" s="48">
        <v>45450</v>
      </c>
      <c r="B242" s="49" t="str">
        <f>IF(C242="","",C242)</f>
        <v/>
      </c>
      <c r="C242" s="19"/>
      <c r="D242" s="16" t="s">
        <v>321</v>
      </c>
      <c r="E242" s="16" t="s">
        <v>321</v>
      </c>
      <c r="F242" s="20">
        <v>46918</v>
      </c>
      <c r="G242" s="32" t="s">
        <v>339</v>
      </c>
      <c r="H242" s="161" t="s">
        <v>45</v>
      </c>
      <c r="I242" s="153"/>
      <c r="J242" s="153"/>
      <c r="K242" s="153"/>
      <c r="L242" s="153"/>
      <c r="M242" s="153"/>
      <c r="N242" s="237"/>
      <c r="O242" s="149"/>
      <c r="P242" s="149"/>
      <c r="Q242" s="153"/>
      <c r="R242" s="153"/>
      <c r="S242" s="15"/>
      <c r="T242" s="15"/>
      <c r="U242" s="15"/>
      <c r="V242" s="160" t="s">
        <v>121</v>
      </c>
      <c r="W242" s="126">
        <v>5</v>
      </c>
      <c r="X242" s="126"/>
      <c r="Y242" s="153"/>
      <c r="Z242" s="174"/>
      <c r="AA242" s="167" t="s">
        <v>309</v>
      </c>
      <c r="AB242" s="174">
        <v>0.5</v>
      </c>
      <c r="AC242" s="153" t="s">
        <v>59</v>
      </c>
      <c r="AD242" s="174">
        <v>0.5</v>
      </c>
      <c r="AE242" s="15" t="s">
        <v>36</v>
      </c>
      <c r="AF242" s="38" t="s">
        <v>56</v>
      </c>
      <c r="AG242" s="38"/>
    </row>
    <row r="243" spans="1:33" s="4" customFormat="1" x14ac:dyDescent="0.4">
      <c r="A243" s="48"/>
      <c r="B243" s="49"/>
      <c r="C243" s="19"/>
      <c r="D243" s="16" t="s">
        <v>321</v>
      </c>
      <c r="E243" s="16" t="s">
        <v>321</v>
      </c>
      <c r="F243" s="23">
        <v>46262</v>
      </c>
      <c r="G243" s="55" t="s">
        <v>306</v>
      </c>
      <c r="H243" s="161" t="s">
        <v>245</v>
      </c>
      <c r="I243" s="15"/>
      <c r="J243" s="15"/>
      <c r="K243" s="15"/>
      <c r="L243" s="15"/>
      <c r="M243" s="15"/>
      <c r="N243" s="15"/>
      <c r="O243" s="15"/>
      <c r="P243" s="15"/>
      <c r="Q243" s="173">
        <v>6</v>
      </c>
      <c r="R243" s="173">
        <v>6</v>
      </c>
      <c r="S243" s="15"/>
      <c r="T243" s="15"/>
      <c r="U243" s="15"/>
      <c r="V243" s="15"/>
      <c r="W243" s="126">
        <v>5</v>
      </c>
      <c r="X243" s="126"/>
      <c r="Y243" s="69"/>
      <c r="Z243" s="165"/>
      <c r="AA243" s="166"/>
      <c r="AB243" s="165"/>
      <c r="AC243" s="15" t="s">
        <v>36</v>
      </c>
      <c r="AD243" s="157">
        <v>1</v>
      </c>
      <c r="AE243" s="15" t="s">
        <v>36</v>
      </c>
      <c r="AF243" s="39" t="s">
        <v>572</v>
      </c>
      <c r="AG243" s="214"/>
    </row>
    <row r="244" spans="1:33" x14ac:dyDescent="0.4">
      <c r="A244" s="48">
        <v>45450</v>
      </c>
      <c r="B244" s="49"/>
      <c r="C244" s="19"/>
      <c r="D244" s="16" t="s">
        <v>321</v>
      </c>
      <c r="E244" s="16" t="s">
        <v>321</v>
      </c>
      <c r="F244" s="33">
        <v>46908</v>
      </c>
      <c r="G244" s="29" t="s">
        <v>137</v>
      </c>
      <c r="H244" s="161" t="s">
        <v>138</v>
      </c>
      <c r="I244" s="42"/>
      <c r="J244" s="42"/>
      <c r="K244" s="42"/>
      <c r="L244" s="15"/>
      <c r="M244" s="15"/>
      <c r="N244" s="15"/>
      <c r="O244" s="15"/>
      <c r="P244" s="15"/>
      <c r="Q244" s="15"/>
      <c r="R244" s="15"/>
      <c r="S244" s="163" t="s">
        <v>11</v>
      </c>
      <c r="T244" s="163" t="s">
        <v>41</v>
      </c>
      <c r="U244" s="164" t="s">
        <v>41</v>
      </c>
      <c r="V244" s="160" t="s">
        <v>41</v>
      </c>
      <c r="W244" s="126">
        <v>5</v>
      </c>
      <c r="X244" s="126"/>
      <c r="Y244" s="15"/>
      <c r="Z244" s="157"/>
      <c r="AA244" s="309" t="s">
        <v>136</v>
      </c>
      <c r="AB244" s="157">
        <v>0.3</v>
      </c>
      <c r="AC244" s="15" t="s">
        <v>46</v>
      </c>
      <c r="AD244" s="157">
        <v>0.7</v>
      </c>
      <c r="AE244" s="15" t="s">
        <v>36</v>
      </c>
      <c r="AF244" s="190" t="s">
        <v>139</v>
      </c>
      <c r="AG244" s="190"/>
    </row>
    <row r="245" spans="1:33" ht="32.4" x14ac:dyDescent="0.4">
      <c r="A245" s="48">
        <v>45450</v>
      </c>
      <c r="B245" s="49"/>
      <c r="C245" s="19"/>
      <c r="D245" s="16" t="s">
        <v>321</v>
      </c>
      <c r="E245" s="16" t="s">
        <v>321</v>
      </c>
      <c r="F245" s="33">
        <v>46852</v>
      </c>
      <c r="G245" s="29" t="s">
        <v>88</v>
      </c>
      <c r="H245" s="161" t="s">
        <v>301</v>
      </c>
      <c r="I245" s="42"/>
      <c r="J245" s="42"/>
      <c r="K245" s="42"/>
      <c r="L245" s="15"/>
      <c r="M245" s="15"/>
      <c r="N245" s="15"/>
      <c r="O245" s="15"/>
      <c r="P245" s="15"/>
      <c r="Q245" s="15"/>
      <c r="R245" s="15"/>
      <c r="S245" s="163" t="s">
        <v>11</v>
      </c>
      <c r="T245" s="163" t="s">
        <v>41</v>
      </c>
      <c r="U245" s="164" t="s">
        <v>41</v>
      </c>
      <c r="V245" s="15"/>
      <c r="W245" s="126">
        <v>5</v>
      </c>
      <c r="X245" s="126"/>
      <c r="Y245" s="15"/>
      <c r="Z245" s="157"/>
      <c r="AA245" s="15" t="s">
        <v>90</v>
      </c>
      <c r="AB245" s="157">
        <v>0.25</v>
      </c>
      <c r="AC245" s="15" t="s">
        <v>59</v>
      </c>
      <c r="AD245" s="157">
        <v>0.75</v>
      </c>
      <c r="AE245" s="15" t="s">
        <v>36</v>
      </c>
      <c r="AF245" s="38" t="s">
        <v>89</v>
      </c>
      <c r="AG245" s="38"/>
    </row>
    <row r="246" spans="1:33" x14ac:dyDescent="0.4">
      <c r="A246" s="48">
        <v>45450</v>
      </c>
      <c r="B246" s="49"/>
      <c r="C246" s="19"/>
      <c r="D246" s="16" t="s">
        <v>321</v>
      </c>
      <c r="E246" s="16" t="s">
        <v>321</v>
      </c>
      <c r="F246" s="33">
        <v>47613</v>
      </c>
      <c r="G246" s="29" t="s">
        <v>130</v>
      </c>
      <c r="H246" s="161" t="s">
        <v>549</v>
      </c>
      <c r="I246" s="305"/>
      <c r="J246" s="305"/>
      <c r="K246" s="305"/>
      <c r="L246" s="15"/>
      <c r="M246" s="15"/>
      <c r="N246" s="15"/>
      <c r="O246" s="15"/>
      <c r="P246" s="15"/>
      <c r="Q246" s="15"/>
      <c r="R246" s="15"/>
      <c r="S246" s="15"/>
      <c r="T246" s="15"/>
      <c r="U246" s="164" t="s">
        <v>112</v>
      </c>
      <c r="V246" s="15"/>
      <c r="W246" s="126">
        <v>5</v>
      </c>
      <c r="X246" s="309"/>
      <c r="Y246" s="153"/>
      <c r="Z246" s="174"/>
      <c r="AA246" s="17" t="s">
        <v>391</v>
      </c>
      <c r="AB246" s="174">
        <v>0.65</v>
      </c>
      <c r="AC246" s="153" t="s">
        <v>59</v>
      </c>
      <c r="AD246" s="174">
        <v>0.35</v>
      </c>
      <c r="AE246" s="15" t="s">
        <v>36</v>
      </c>
      <c r="AF246" s="38" t="s">
        <v>40</v>
      </c>
      <c r="AG246" s="38"/>
    </row>
    <row r="247" spans="1:33" x14ac:dyDescent="0.4">
      <c r="A247" s="43"/>
      <c r="B247" s="44"/>
      <c r="C247" s="45"/>
      <c r="D247" s="18"/>
      <c r="E247" s="18"/>
      <c r="F247" s="63">
        <v>46817</v>
      </c>
      <c r="G247" s="59" t="s">
        <v>44</v>
      </c>
      <c r="H247" s="238" t="s">
        <v>45</v>
      </c>
      <c r="I247" s="239" t="s">
        <v>41</v>
      </c>
      <c r="J247" s="239" t="s">
        <v>41</v>
      </c>
      <c r="K247" s="239" t="s">
        <v>41</v>
      </c>
      <c r="L247" s="240" t="s">
        <v>41</v>
      </c>
      <c r="M247" s="240" t="s">
        <v>41</v>
      </c>
      <c r="N247" s="241" t="s">
        <v>41</v>
      </c>
      <c r="O247" s="242" t="s">
        <v>41</v>
      </c>
      <c r="P247" s="242" t="s">
        <v>41</v>
      </c>
      <c r="Q247" s="243"/>
      <c r="R247" s="243"/>
      <c r="S247" s="243"/>
      <c r="T247" s="243"/>
      <c r="U247" s="243"/>
      <c r="V247" s="243"/>
      <c r="W247" s="244">
        <v>5</v>
      </c>
      <c r="X247" s="244"/>
      <c r="Y247" s="245"/>
      <c r="Z247" s="246"/>
      <c r="AA247" s="247"/>
      <c r="AB247" s="247"/>
      <c r="AC247" s="247" t="s">
        <v>372</v>
      </c>
      <c r="AD247" s="248">
        <v>1</v>
      </c>
      <c r="AE247" s="243" t="s">
        <v>36</v>
      </c>
      <c r="AF247" s="249" t="s">
        <v>56</v>
      </c>
      <c r="AG247" s="249"/>
    </row>
    <row r="248" spans="1:33" x14ac:dyDescent="0.4">
      <c r="A248" s="48"/>
      <c r="B248" s="92"/>
      <c r="C248" s="73"/>
      <c r="D248" s="18"/>
      <c r="E248" s="18"/>
      <c r="F248" s="94">
        <v>46867</v>
      </c>
      <c r="G248" s="97" t="s">
        <v>277</v>
      </c>
      <c r="H248" s="250" t="s">
        <v>86</v>
      </c>
      <c r="I248" s="251"/>
      <c r="J248" s="251"/>
      <c r="K248" s="251"/>
      <c r="L248" s="243"/>
      <c r="M248" s="243"/>
      <c r="N248" s="243"/>
      <c r="O248" s="243"/>
      <c r="P248" s="243"/>
      <c r="Q248" s="243"/>
      <c r="R248" s="243"/>
      <c r="S248" s="252" t="s">
        <v>116</v>
      </c>
      <c r="T248" s="252" t="s">
        <v>116</v>
      </c>
      <c r="U248" s="253" t="s">
        <v>116</v>
      </c>
      <c r="V248" s="243"/>
      <c r="W248" s="244">
        <v>5</v>
      </c>
      <c r="X248" s="244"/>
      <c r="Y248" s="243"/>
      <c r="Z248" s="254"/>
      <c r="AA248" s="244" t="s">
        <v>136</v>
      </c>
      <c r="AB248" s="254">
        <v>0.33329999999999999</v>
      </c>
      <c r="AC248" s="243" t="s">
        <v>358</v>
      </c>
      <c r="AD248" s="254">
        <v>0.66669999999999996</v>
      </c>
      <c r="AE248" s="243" t="s">
        <v>50</v>
      </c>
      <c r="AF248" s="255" t="s">
        <v>45</v>
      </c>
      <c r="AG248" s="256"/>
    </row>
    <row r="249" spans="1:33" x14ac:dyDescent="0.4">
      <c r="A249" s="43"/>
      <c r="B249" s="44"/>
      <c r="C249" s="45"/>
      <c r="D249" s="18"/>
      <c r="E249" s="18"/>
      <c r="F249" s="84">
        <v>46801</v>
      </c>
      <c r="G249" s="47" t="s">
        <v>193</v>
      </c>
      <c r="H249" s="238" t="s">
        <v>63</v>
      </c>
      <c r="I249" s="251"/>
      <c r="J249" s="251"/>
      <c r="K249" s="251"/>
      <c r="L249" s="243"/>
      <c r="M249" s="243"/>
      <c r="N249" s="243"/>
      <c r="O249" s="243"/>
      <c r="P249" s="243"/>
      <c r="Q249" s="243"/>
      <c r="R249" s="243"/>
      <c r="S249" s="252" t="s">
        <v>116</v>
      </c>
      <c r="T249" s="252" t="s">
        <v>116</v>
      </c>
      <c r="U249" s="253" t="s">
        <v>116</v>
      </c>
      <c r="V249" s="257" t="s">
        <v>41</v>
      </c>
      <c r="W249" s="244">
        <v>5</v>
      </c>
      <c r="X249" s="244"/>
      <c r="Y249" s="243"/>
      <c r="Z249" s="244"/>
      <c r="AA249" s="243" t="s">
        <v>194</v>
      </c>
      <c r="AB249" s="246">
        <v>0.6</v>
      </c>
      <c r="AC249" s="243" t="s">
        <v>35</v>
      </c>
      <c r="AD249" s="254">
        <v>0.4</v>
      </c>
      <c r="AE249" s="243" t="s">
        <v>36</v>
      </c>
      <c r="AF249" s="249" t="s">
        <v>548</v>
      </c>
      <c r="AG249" s="249"/>
    </row>
    <row r="250" spans="1:33" x14ac:dyDescent="0.4">
      <c r="A250" s="48"/>
      <c r="B250" s="49" t="str">
        <f>IF(C250="","",C250)</f>
        <v/>
      </c>
      <c r="C250" s="45"/>
      <c r="D250" s="18"/>
      <c r="E250" s="18"/>
      <c r="F250" s="95">
        <v>46875</v>
      </c>
      <c r="G250" s="98" t="s">
        <v>333</v>
      </c>
      <c r="H250" s="250" t="s">
        <v>86</v>
      </c>
      <c r="I250" s="251"/>
      <c r="J250" s="251"/>
      <c r="K250" s="251"/>
      <c r="L250" s="240" t="s">
        <v>41</v>
      </c>
      <c r="M250" s="240" t="s">
        <v>41</v>
      </c>
      <c r="N250" s="243"/>
      <c r="O250" s="243"/>
      <c r="P250" s="243"/>
      <c r="Q250" s="243"/>
      <c r="R250" s="243"/>
      <c r="S250" s="15"/>
      <c r="T250" s="15"/>
      <c r="U250" s="243"/>
      <c r="V250" s="243"/>
      <c r="W250" s="244">
        <v>5</v>
      </c>
      <c r="X250" s="244"/>
      <c r="Y250" s="243"/>
      <c r="Z250" s="254"/>
      <c r="AA250" s="244"/>
      <c r="AB250" s="244"/>
      <c r="AC250" s="243" t="s">
        <v>36</v>
      </c>
      <c r="AD250" s="254">
        <v>1</v>
      </c>
      <c r="AE250" s="243" t="s">
        <v>36</v>
      </c>
      <c r="AF250" s="258" t="s">
        <v>86</v>
      </c>
      <c r="AG250" s="259"/>
    </row>
    <row r="251" spans="1:33" ht="32.4" x14ac:dyDescent="0.4">
      <c r="A251" s="43"/>
      <c r="B251" s="85"/>
      <c r="C251" s="45"/>
      <c r="D251" s="18"/>
      <c r="E251" s="18"/>
      <c r="F251" s="87">
        <v>46915</v>
      </c>
      <c r="G251" s="88" t="s">
        <v>521</v>
      </c>
      <c r="H251" s="260" t="s">
        <v>210</v>
      </c>
      <c r="I251" s="261"/>
      <c r="J251" s="261"/>
      <c r="K251" s="261"/>
      <c r="L251" s="261"/>
      <c r="M251" s="261"/>
      <c r="N251" s="262"/>
      <c r="O251" s="263"/>
      <c r="P251" s="263"/>
      <c r="Q251" s="261"/>
      <c r="R251" s="261"/>
      <c r="S251" s="264" t="s">
        <v>308</v>
      </c>
      <c r="T251" s="265"/>
      <c r="U251" s="253" t="s">
        <v>41</v>
      </c>
      <c r="V251" s="257" t="s">
        <v>41</v>
      </c>
      <c r="W251" s="266">
        <v>5</v>
      </c>
      <c r="X251" s="266"/>
      <c r="Y251" s="265"/>
      <c r="Z251" s="267"/>
      <c r="AA251" s="266"/>
      <c r="AB251" s="266"/>
      <c r="AC251" s="18" t="s">
        <v>46</v>
      </c>
      <c r="AD251" s="267">
        <v>1</v>
      </c>
      <c r="AE251" s="265" t="s">
        <v>36</v>
      </c>
      <c r="AF251" s="268" t="s">
        <v>93</v>
      </c>
      <c r="AG251" s="269"/>
    </row>
    <row r="252" spans="1:33" ht="32.4" customHeight="1" x14ac:dyDescent="0.4">
      <c r="A252" s="43"/>
      <c r="B252" s="44"/>
      <c r="C252" s="45"/>
      <c r="D252" s="18"/>
      <c r="E252" s="18"/>
      <c r="F252" s="63">
        <v>46990</v>
      </c>
      <c r="G252" s="59" t="s">
        <v>207</v>
      </c>
      <c r="H252" s="238" t="s">
        <v>149</v>
      </c>
      <c r="I252" s="239" t="s">
        <v>41</v>
      </c>
      <c r="J252" s="251"/>
      <c r="K252" s="239" t="s">
        <v>41</v>
      </c>
      <c r="L252" s="243"/>
      <c r="M252" s="240" t="s">
        <v>41</v>
      </c>
      <c r="N252" s="243"/>
      <c r="O252" s="242" t="s">
        <v>431</v>
      </c>
      <c r="P252" s="242" t="s">
        <v>431</v>
      </c>
      <c r="Q252" s="270" t="s">
        <v>41</v>
      </c>
      <c r="R252" s="270" t="s">
        <v>41</v>
      </c>
      <c r="S252" s="243"/>
      <c r="T252" s="243"/>
      <c r="U252" s="243"/>
      <c r="V252" s="243"/>
      <c r="W252" s="244">
        <v>5</v>
      </c>
      <c r="X252" s="244"/>
      <c r="Y252" s="271" t="s">
        <v>475</v>
      </c>
      <c r="Z252" s="254">
        <v>0.15</v>
      </c>
      <c r="AA252" s="244"/>
      <c r="AB252" s="254"/>
      <c r="AC252" s="243" t="s">
        <v>208</v>
      </c>
      <c r="AD252" s="254">
        <v>1</v>
      </c>
      <c r="AE252" s="243" t="s">
        <v>36</v>
      </c>
      <c r="AF252" s="249" t="s">
        <v>302</v>
      </c>
      <c r="AG252" s="249"/>
    </row>
    <row r="253" spans="1:33" x14ac:dyDescent="0.4">
      <c r="A253" s="48"/>
      <c r="B253" s="49" t="str">
        <f t="shared" ref="B253:B263" si="7">IF(C253="","",C253)</f>
        <v/>
      </c>
      <c r="C253" s="45"/>
      <c r="D253" s="16"/>
      <c r="E253" s="16"/>
      <c r="F253" s="87">
        <v>46880</v>
      </c>
      <c r="G253" s="100" t="s">
        <v>125</v>
      </c>
      <c r="H253" s="272" t="s">
        <v>86</v>
      </c>
      <c r="I253" s="273"/>
      <c r="J253" s="273"/>
      <c r="K253" s="27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57" t="s">
        <v>121</v>
      </c>
      <c r="W253" s="244">
        <v>5</v>
      </c>
      <c r="X253" s="244"/>
      <c r="Y253" s="243"/>
      <c r="Z253" s="254"/>
      <c r="AA253" s="244"/>
      <c r="AB253" s="244"/>
      <c r="AC253" s="243" t="s">
        <v>35</v>
      </c>
      <c r="AD253" s="254">
        <v>1</v>
      </c>
      <c r="AE253" s="15" t="s">
        <v>36</v>
      </c>
      <c r="AF253" s="274" t="s">
        <v>117</v>
      </c>
      <c r="AG253" s="214"/>
    </row>
    <row r="254" spans="1:33" x14ac:dyDescent="0.4">
      <c r="A254" s="48"/>
      <c r="B254" s="49" t="str">
        <f t="shared" si="7"/>
        <v/>
      </c>
      <c r="C254" s="45"/>
      <c r="D254" s="18"/>
      <c r="E254" s="18"/>
      <c r="F254" s="46">
        <v>46922</v>
      </c>
      <c r="G254" s="47" t="s">
        <v>423</v>
      </c>
      <c r="H254" s="250" t="s">
        <v>86</v>
      </c>
      <c r="I254" s="245"/>
      <c r="J254" s="245"/>
      <c r="K254" s="245"/>
      <c r="L254" s="245"/>
      <c r="M254" s="245"/>
      <c r="N254" s="275"/>
      <c r="O254" s="242">
        <v>5</v>
      </c>
      <c r="P254" s="242">
        <v>5</v>
      </c>
      <c r="Q254" s="245"/>
      <c r="R254" s="245"/>
      <c r="S254" s="243"/>
      <c r="T254" s="243"/>
      <c r="U254" s="243"/>
      <c r="V254" s="243"/>
      <c r="W254" s="244">
        <v>5</v>
      </c>
      <c r="X254" s="244"/>
      <c r="Y254" s="243"/>
      <c r="Z254" s="254"/>
      <c r="AA254" s="244"/>
      <c r="AB254" s="254"/>
      <c r="AC254" s="15" t="s">
        <v>36</v>
      </c>
      <c r="AD254" s="15" t="s">
        <v>36</v>
      </c>
      <c r="AE254" s="15" t="s">
        <v>36</v>
      </c>
      <c r="AF254" s="258" t="s">
        <v>86</v>
      </c>
      <c r="AG254" s="256"/>
    </row>
    <row r="255" spans="1:33" x14ac:dyDescent="0.4">
      <c r="A255" s="48"/>
      <c r="B255" s="49" t="str">
        <f t="shared" si="7"/>
        <v/>
      </c>
      <c r="C255" s="45"/>
      <c r="D255" s="18"/>
      <c r="E255" s="18"/>
      <c r="F255" s="46">
        <v>45475</v>
      </c>
      <c r="G255" s="47" t="s">
        <v>447</v>
      </c>
      <c r="H255" s="238" t="s">
        <v>232</v>
      </c>
      <c r="I255" s="251"/>
      <c r="J255" s="251"/>
      <c r="K255" s="239">
        <v>5</v>
      </c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4">
        <v>5</v>
      </c>
      <c r="X255" s="244"/>
      <c r="Y255" s="243"/>
      <c r="Z255" s="254"/>
      <c r="AA255" s="244"/>
      <c r="AB255" s="244"/>
      <c r="AC255" s="243" t="s">
        <v>108</v>
      </c>
      <c r="AD255" s="254">
        <v>1</v>
      </c>
      <c r="AE255" s="243" t="s">
        <v>36</v>
      </c>
      <c r="AF255" s="243" t="s">
        <v>36</v>
      </c>
      <c r="AG255" s="256"/>
    </row>
    <row r="256" spans="1:33" x14ac:dyDescent="0.4">
      <c r="A256" s="48"/>
      <c r="B256" s="49" t="str">
        <f t="shared" si="7"/>
        <v/>
      </c>
      <c r="C256" s="45"/>
      <c r="D256" s="18"/>
      <c r="E256" s="18"/>
      <c r="F256" s="56">
        <v>46818</v>
      </c>
      <c r="G256" s="99" t="s">
        <v>451</v>
      </c>
      <c r="H256" s="250" t="s">
        <v>86</v>
      </c>
      <c r="I256" s="251"/>
      <c r="J256" s="251"/>
      <c r="K256" s="239" t="s">
        <v>450</v>
      </c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4">
        <v>5</v>
      </c>
      <c r="X256" s="244"/>
      <c r="Y256" s="250"/>
      <c r="Z256" s="276"/>
      <c r="AA256" s="250"/>
      <c r="AB256" s="276"/>
      <c r="AC256" s="15" t="s">
        <v>36</v>
      </c>
      <c r="AD256" s="15" t="s">
        <v>36</v>
      </c>
      <c r="AE256" s="15" t="s">
        <v>36</v>
      </c>
      <c r="AF256" s="255" t="s">
        <v>86</v>
      </c>
      <c r="AG256" s="256"/>
    </row>
    <row r="257" spans="1:33" ht="32.4" x14ac:dyDescent="0.4">
      <c r="A257" s="48"/>
      <c r="B257" s="49" t="str">
        <f t="shared" si="7"/>
        <v/>
      </c>
      <c r="C257" s="45"/>
      <c r="D257" s="18"/>
      <c r="E257" s="18"/>
      <c r="F257" s="96">
        <v>46926</v>
      </c>
      <c r="G257" s="86" t="s">
        <v>561</v>
      </c>
      <c r="H257" s="250" t="s">
        <v>433</v>
      </c>
      <c r="I257" s="245"/>
      <c r="J257" s="245"/>
      <c r="K257" s="245"/>
      <c r="L257" s="245"/>
      <c r="M257" s="245"/>
      <c r="N257" s="275"/>
      <c r="O257" s="242" t="s">
        <v>487</v>
      </c>
      <c r="P257" s="242" t="s">
        <v>487</v>
      </c>
      <c r="Q257" s="245"/>
      <c r="R257" s="245"/>
      <c r="S257" s="243"/>
      <c r="T257" s="243"/>
      <c r="U257" s="243"/>
      <c r="V257" s="243"/>
      <c r="W257" s="243">
        <v>5</v>
      </c>
      <c r="X257" s="243"/>
      <c r="Y257" s="243"/>
      <c r="Z257" s="277"/>
      <c r="AA257" s="243"/>
      <c r="AB257" s="277"/>
      <c r="AC257" s="243" t="s">
        <v>36</v>
      </c>
      <c r="AD257" s="277"/>
      <c r="AE257" s="243"/>
      <c r="AF257" s="258" t="s">
        <v>86</v>
      </c>
      <c r="AG257" s="256"/>
    </row>
    <row r="258" spans="1:33" x14ac:dyDescent="0.4">
      <c r="A258" s="43"/>
      <c r="B258" s="44" t="str">
        <f t="shared" si="7"/>
        <v/>
      </c>
      <c r="C258" s="45"/>
      <c r="D258" s="18"/>
      <c r="E258" s="18"/>
      <c r="F258" s="87">
        <v>46917</v>
      </c>
      <c r="G258" s="89" t="s">
        <v>348</v>
      </c>
      <c r="H258" s="238" t="s">
        <v>149</v>
      </c>
      <c r="I258" s="251"/>
      <c r="J258" s="251"/>
      <c r="K258" s="251"/>
      <c r="L258" s="243"/>
      <c r="M258" s="243"/>
      <c r="N258" s="243"/>
      <c r="O258" s="243"/>
      <c r="P258" s="243"/>
      <c r="Q258" s="243"/>
      <c r="R258" s="243"/>
      <c r="S258" s="252" t="s">
        <v>11</v>
      </c>
      <c r="T258" s="252" t="s">
        <v>41</v>
      </c>
      <c r="U258" s="243"/>
      <c r="V258" s="257" t="s">
        <v>41</v>
      </c>
      <c r="W258" s="244">
        <v>5</v>
      </c>
      <c r="X258" s="244"/>
      <c r="Y258" s="243"/>
      <c r="Z258" s="254"/>
      <c r="AA258" s="244" t="s">
        <v>206</v>
      </c>
      <c r="AB258" s="254">
        <v>0.3</v>
      </c>
      <c r="AC258" s="243" t="s">
        <v>208</v>
      </c>
      <c r="AD258" s="254">
        <v>0.7</v>
      </c>
      <c r="AE258" s="243" t="s">
        <v>36</v>
      </c>
      <c r="AF258" s="278" t="s">
        <v>347</v>
      </c>
      <c r="AG258" s="279"/>
    </row>
    <row r="259" spans="1:33" x14ac:dyDescent="0.4">
      <c r="A259" s="48"/>
      <c r="B259" s="49" t="str">
        <f t="shared" si="7"/>
        <v/>
      </c>
      <c r="C259" s="45"/>
      <c r="D259" s="18"/>
      <c r="E259" s="18"/>
      <c r="F259" s="46">
        <v>46878</v>
      </c>
      <c r="G259" s="47" t="s">
        <v>280</v>
      </c>
      <c r="H259" s="238" t="s">
        <v>167</v>
      </c>
      <c r="I259" s="239" t="s">
        <v>41</v>
      </c>
      <c r="J259" s="239" t="s">
        <v>41</v>
      </c>
      <c r="K259" s="239" t="s">
        <v>41</v>
      </c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4">
        <v>5</v>
      </c>
      <c r="X259" s="244"/>
      <c r="Y259" s="243"/>
      <c r="Z259" s="254"/>
      <c r="AA259" s="244" t="s">
        <v>370</v>
      </c>
      <c r="AB259" s="254">
        <v>0.3</v>
      </c>
      <c r="AC259" s="244" t="s">
        <v>369</v>
      </c>
      <c r="AD259" s="254">
        <v>0.7</v>
      </c>
      <c r="AE259" s="243" t="s">
        <v>368</v>
      </c>
      <c r="AF259" s="255" t="s">
        <v>43</v>
      </c>
      <c r="AG259" s="256"/>
    </row>
    <row r="260" spans="1:33" x14ac:dyDescent="0.4">
      <c r="A260" s="48"/>
      <c r="B260" s="49" t="str">
        <f t="shared" si="7"/>
        <v/>
      </c>
      <c r="C260" s="45"/>
      <c r="D260" s="18"/>
      <c r="E260" s="18"/>
      <c r="F260" s="56">
        <v>46263</v>
      </c>
      <c r="G260" s="280" t="s">
        <v>398</v>
      </c>
      <c r="H260" s="250" t="s">
        <v>86</v>
      </c>
      <c r="I260" s="251"/>
      <c r="J260" s="251"/>
      <c r="K260" s="251"/>
      <c r="L260" s="243"/>
      <c r="M260" s="240">
        <v>6</v>
      </c>
      <c r="N260" s="176"/>
      <c r="O260" s="176"/>
      <c r="P260" s="176"/>
      <c r="Q260" s="243"/>
      <c r="R260" s="243"/>
      <c r="S260" s="243"/>
      <c r="T260" s="243"/>
      <c r="U260" s="243"/>
      <c r="V260" s="243"/>
      <c r="W260" s="244">
        <v>5</v>
      </c>
      <c r="X260" s="244"/>
      <c r="Y260" s="250"/>
      <c r="Z260" s="276"/>
      <c r="AA260" s="281"/>
      <c r="AB260" s="281"/>
      <c r="AC260" s="250" t="s">
        <v>36</v>
      </c>
      <c r="AD260" s="254">
        <v>1</v>
      </c>
      <c r="AE260" s="243" t="s">
        <v>36</v>
      </c>
      <c r="AF260" s="258" t="s">
        <v>36</v>
      </c>
      <c r="AG260" s="259"/>
    </row>
    <row r="261" spans="1:33" ht="32.4" x14ac:dyDescent="0.4">
      <c r="A261" s="48"/>
      <c r="B261" s="49" t="str">
        <f t="shared" si="7"/>
        <v/>
      </c>
      <c r="C261" s="45"/>
      <c r="D261" s="18"/>
      <c r="E261" s="18"/>
      <c r="F261" s="46">
        <v>46923</v>
      </c>
      <c r="G261" s="47" t="s">
        <v>432</v>
      </c>
      <c r="H261" s="250" t="s">
        <v>433</v>
      </c>
      <c r="I261" s="245"/>
      <c r="J261" s="245"/>
      <c r="K261" s="245"/>
      <c r="L261" s="245"/>
      <c r="M261" s="245"/>
      <c r="N261" s="275"/>
      <c r="O261" s="242" t="s">
        <v>487</v>
      </c>
      <c r="P261" s="242" t="s">
        <v>487</v>
      </c>
      <c r="Q261" s="245"/>
      <c r="R261" s="245"/>
      <c r="S261" s="243"/>
      <c r="T261" s="243"/>
      <c r="U261" s="243"/>
      <c r="V261" s="243"/>
      <c r="W261" s="243">
        <v>5</v>
      </c>
      <c r="X261" s="243"/>
      <c r="Y261" s="243"/>
      <c r="Z261" s="277"/>
      <c r="AA261" s="243"/>
      <c r="AB261" s="277"/>
      <c r="AC261" s="15" t="s">
        <v>36</v>
      </c>
      <c r="AD261" s="15" t="s">
        <v>36</v>
      </c>
      <c r="AE261" s="15" t="s">
        <v>36</v>
      </c>
      <c r="AF261" s="258" t="s">
        <v>86</v>
      </c>
      <c r="AG261" s="256"/>
    </row>
    <row r="262" spans="1:33" x14ac:dyDescent="0.4">
      <c r="A262" s="43"/>
      <c r="B262" s="44" t="str">
        <f t="shared" si="7"/>
        <v/>
      </c>
      <c r="C262" s="45"/>
      <c r="D262" s="18"/>
      <c r="E262" s="18"/>
      <c r="F262" s="63">
        <v>46885</v>
      </c>
      <c r="G262" s="59" t="s">
        <v>177</v>
      </c>
      <c r="H262" s="282" t="s">
        <v>176</v>
      </c>
      <c r="I262" s="273"/>
      <c r="J262" s="273"/>
      <c r="K262" s="27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57" t="s">
        <v>41</v>
      </c>
      <c r="W262" s="244">
        <v>5</v>
      </c>
      <c r="X262" s="243"/>
      <c r="Y262" s="250"/>
      <c r="Z262" s="283"/>
      <c r="AA262" s="250"/>
      <c r="AB262" s="250"/>
      <c r="AC262" s="250" t="s">
        <v>49</v>
      </c>
      <c r="AD262" s="254">
        <v>1</v>
      </c>
      <c r="AE262" s="243" t="s">
        <v>36</v>
      </c>
      <c r="AF262" s="284" t="s">
        <v>325</v>
      </c>
      <c r="AG262" s="284"/>
    </row>
    <row r="263" spans="1:33" ht="32.4" x14ac:dyDescent="0.4">
      <c r="A263" s="48"/>
      <c r="B263" s="49" t="str">
        <f t="shared" si="7"/>
        <v/>
      </c>
      <c r="C263" s="45"/>
      <c r="D263" s="18"/>
      <c r="E263" s="18"/>
      <c r="F263" s="63">
        <v>46924</v>
      </c>
      <c r="G263" s="285" t="s">
        <v>434</v>
      </c>
      <c r="H263" s="250" t="s">
        <v>433</v>
      </c>
      <c r="I263" s="251"/>
      <c r="J263" s="251"/>
      <c r="K263" s="251"/>
      <c r="L263" s="243"/>
      <c r="M263" s="176"/>
      <c r="N263" s="286"/>
      <c r="O263" s="242" t="s">
        <v>487</v>
      </c>
      <c r="P263" s="242" t="s">
        <v>487</v>
      </c>
      <c r="Q263" s="243"/>
      <c r="R263" s="243"/>
      <c r="S263" s="243"/>
      <c r="T263" s="243"/>
      <c r="U263" s="243"/>
      <c r="V263" s="243"/>
      <c r="W263" s="243">
        <v>5</v>
      </c>
      <c r="X263" s="243"/>
      <c r="Y263" s="243"/>
      <c r="Z263" s="277"/>
      <c r="AA263" s="243"/>
      <c r="AB263" s="243"/>
      <c r="AC263" s="15" t="s">
        <v>36</v>
      </c>
      <c r="AD263" s="15" t="s">
        <v>36</v>
      </c>
      <c r="AE263" s="15" t="s">
        <v>36</v>
      </c>
      <c r="AF263" s="258" t="s">
        <v>86</v>
      </c>
      <c r="AG263" s="259"/>
    </row>
    <row r="264" spans="1:33" ht="32.4" x14ac:dyDescent="0.4">
      <c r="A264" s="43"/>
      <c r="B264" s="287"/>
      <c r="C264" s="73"/>
      <c r="D264" s="261"/>
      <c r="E264" s="261"/>
      <c r="F264" s="63">
        <v>43055</v>
      </c>
      <c r="G264" s="59" t="s">
        <v>244</v>
      </c>
      <c r="H264" s="238" t="s">
        <v>337</v>
      </c>
      <c r="I264" s="251"/>
      <c r="J264" s="251"/>
      <c r="K264" s="251"/>
      <c r="L264" s="243"/>
      <c r="M264" s="243"/>
      <c r="N264" s="243"/>
      <c r="O264" s="242" t="s">
        <v>487</v>
      </c>
      <c r="P264" s="242">
        <v>5</v>
      </c>
      <c r="Q264" s="243"/>
      <c r="R264" s="270">
        <v>4</v>
      </c>
      <c r="S264" s="243"/>
      <c r="T264" s="243"/>
      <c r="U264" s="243"/>
      <c r="V264" s="243"/>
      <c r="W264" s="243">
        <v>5</v>
      </c>
      <c r="X264" s="243"/>
      <c r="Y264" s="243" t="s">
        <v>505</v>
      </c>
      <c r="Z264" s="277">
        <v>0.1</v>
      </c>
      <c r="AA264" s="243"/>
      <c r="AB264" s="277"/>
      <c r="AC264" s="243" t="s">
        <v>361</v>
      </c>
      <c r="AD264" s="277">
        <v>1</v>
      </c>
      <c r="AE264" s="243" t="s">
        <v>36</v>
      </c>
      <c r="AF264" s="249" t="s">
        <v>245</v>
      </c>
      <c r="AG264" s="278"/>
    </row>
    <row r="265" spans="1:33" x14ac:dyDescent="0.4">
      <c r="A265" s="48"/>
      <c r="B265" s="49" t="str">
        <f>IF(C265="","",C265)</f>
        <v/>
      </c>
      <c r="C265" s="45"/>
      <c r="D265" s="18"/>
      <c r="E265" s="18"/>
      <c r="F265" s="46">
        <v>46872</v>
      </c>
      <c r="G265" s="288" t="s">
        <v>65</v>
      </c>
      <c r="H265" s="238" t="s">
        <v>64</v>
      </c>
      <c r="I265" s="251"/>
      <c r="J265" s="251"/>
      <c r="K265" s="251"/>
      <c r="L265" s="243"/>
      <c r="M265" s="243"/>
      <c r="N265" s="243"/>
      <c r="O265" s="243"/>
      <c r="P265" s="243"/>
      <c r="Q265" s="243"/>
      <c r="R265" s="243"/>
      <c r="S265" s="243"/>
      <c r="T265" s="243"/>
      <c r="U265" s="253" t="s">
        <v>66</v>
      </c>
      <c r="V265" s="243"/>
      <c r="W265" s="244">
        <v>5</v>
      </c>
      <c r="X265" s="244"/>
      <c r="Y265" s="243"/>
      <c r="Z265" s="254"/>
      <c r="AA265" s="244" t="s">
        <v>310</v>
      </c>
      <c r="AB265" s="254">
        <v>0.5</v>
      </c>
      <c r="AC265" s="243" t="s">
        <v>59</v>
      </c>
      <c r="AD265" s="254">
        <v>0.5</v>
      </c>
      <c r="AE265" s="243" t="s">
        <v>36</v>
      </c>
      <c r="AF265" s="258" t="s">
        <v>69</v>
      </c>
      <c r="AG265" s="259"/>
    </row>
    <row r="266" spans="1:33" ht="32.4" x14ac:dyDescent="0.4">
      <c r="A266" s="48"/>
      <c r="B266" s="49" t="str">
        <f>IF(C266="","",C266)</f>
        <v/>
      </c>
      <c r="C266" s="45"/>
      <c r="D266" s="18"/>
      <c r="E266" s="18"/>
      <c r="F266" s="46">
        <v>46835</v>
      </c>
      <c r="G266" s="47" t="s">
        <v>424</v>
      </c>
      <c r="H266" s="250" t="s">
        <v>86</v>
      </c>
      <c r="I266" s="245"/>
      <c r="J266" s="245"/>
      <c r="K266" s="245"/>
      <c r="L266" s="245"/>
      <c r="M266" s="245"/>
      <c r="N266" s="275"/>
      <c r="O266" s="242" t="s">
        <v>487</v>
      </c>
      <c r="P266" s="242">
        <v>7</v>
      </c>
      <c r="Q266" s="245"/>
      <c r="R266" s="245"/>
      <c r="S266" s="243"/>
      <c r="T266" s="243"/>
      <c r="U266" s="243"/>
      <c r="V266" s="243"/>
      <c r="W266" s="243">
        <v>5</v>
      </c>
      <c r="X266" s="243"/>
      <c r="Y266" s="243"/>
      <c r="Z266" s="277"/>
      <c r="AA266" s="243"/>
      <c r="AB266" s="277"/>
      <c r="AC266" s="243" t="s">
        <v>36</v>
      </c>
      <c r="AD266" s="243" t="s">
        <v>36</v>
      </c>
      <c r="AE266" s="243" t="s">
        <v>36</v>
      </c>
      <c r="AF266" s="258" t="s">
        <v>86</v>
      </c>
      <c r="AG266" s="256"/>
    </row>
    <row r="267" spans="1:33" x14ac:dyDescent="0.4">
      <c r="A267" s="43"/>
      <c r="B267" s="44"/>
      <c r="C267" s="45"/>
      <c r="D267" s="18"/>
      <c r="E267" s="18"/>
      <c r="F267" s="46">
        <v>46891</v>
      </c>
      <c r="G267" s="47" t="s">
        <v>124</v>
      </c>
      <c r="H267" s="282" t="s">
        <v>117</v>
      </c>
      <c r="I267" s="273"/>
      <c r="J267" s="273"/>
      <c r="K267" s="273"/>
      <c r="L267" s="243"/>
      <c r="M267" s="243"/>
      <c r="N267" s="241" t="s">
        <v>41</v>
      </c>
      <c r="O267" s="243"/>
      <c r="P267" s="243"/>
      <c r="Q267" s="243"/>
      <c r="R267" s="243"/>
      <c r="S267" s="243"/>
      <c r="T267" s="243"/>
      <c r="U267" s="243"/>
      <c r="V267" s="176"/>
      <c r="W267" s="244">
        <v>5</v>
      </c>
      <c r="X267" s="289"/>
      <c r="Y267" s="290"/>
      <c r="Z267" s="291"/>
      <c r="AA267" s="245" t="s">
        <v>553</v>
      </c>
      <c r="AB267" s="292">
        <v>0.3</v>
      </c>
      <c r="AC267" s="245" t="s">
        <v>554</v>
      </c>
      <c r="AD267" s="248">
        <v>0.7</v>
      </c>
      <c r="AE267" s="243" t="s">
        <v>36</v>
      </c>
      <c r="AF267" s="284" t="s">
        <v>118</v>
      </c>
      <c r="AG267" s="269"/>
    </row>
    <row r="268" spans="1:33" ht="32.4" customHeight="1" x14ac:dyDescent="0.4">
      <c r="A268" s="43"/>
      <c r="B268" s="44" t="str">
        <f>IF(C268="","",C268)</f>
        <v/>
      </c>
      <c r="C268" s="45"/>
      <c r="D268" s="18"/>
      <c r="E268" s="18"/>
      <c r="F268" s="46">
        <v>46897</v>
      </c>
      <c r="G268" s="47" t="s">
        <v>519</v>
      </c>
      <c r="H268" s="250" t="s">
        <v>86</v>
      </c>
      <c r="I268" s="239" t="s">
        <v>41</v>
      </c>
      <c r="J268" s="239" t="s">
        <v>42</v>
      </c>
      <c r="K268" s="239" t="s">
        <v>41</v>
      </c>
      <c r="L268" s="240" t="s">
        <v>41</v>
      </c>
      <c r="M268" s="240" t="s">
        <v>41</v>
      </c>
      <c r="N268" s="176"/>
      <c r="O268" s="242" t="s">
        <v>431</v>
      </c>
      <c r="P268" s="242" t="s">
        <v>431</v>
      </c>
      <c r="Q268" s="270" t="s">
        <v>41</v>
      </c>
      <c r="R268" s="270" t="s">
        <v>41</v>
      </c>
      <c r="S268" s="243"/>
      <c r="T268" s="243"/>
      <c r="U268" s="243"/>
      <c r="V268" s="243"/>
      <c r="W268" s="244">
        <v>5</v>
      </c>
      <c r="X268" s="244"/>
      <c r="Y268" s="245"/>
      <c r="Z268" s="246"/>
      <c r="AA268" s="247"/>
      <c r="AB268" s="247"/>
      <c r="AC268" s="245" t="s">
        <v>108</v>
      </c>
      <c r="AD268" s="246">
        <v>1</v>
      </c>
      <c r="AE268" s="243" t="s">
        <v>36</v>
      </c>
      <c r="AF268" s="249" t="s">
        <v>43</v>
      </c>
      <c r="AG268" s="249"/>
    </row>
    <row r="269" spans="1:33" x14ac:dyDescent="0.4">
      <c r="A269" s="48"/>
      <c r="B269" s="49" t="str">
        <f>IF(C269="","",C269)</f>
        <v/>
      </c>
      <c r="C269" s="45"/>
      <c r="D269" s="18"/>
      <c r="E269" s="18"/>
      <c r="F269" s="56">
        <v>46851</v>
      </c>
      <c r="G269" s="59" t="s">
        <v>188</v>
      </c>
      <c r="H269" s="238" t="s">
        <v>81</v>
      </c>
      <c r="I269" s="251"/>
      <c r="J269" s="251"/>
      <c r="K269" s="251"/>
      <c r="L269" s="243"/>
      <c r="M269" s="243"/>
      <c r="N269" s="243"/>
      <c r="O269" s="243"/>
      <c r="P269" s="243"/>
      <c r="Q269" s="243"/>
      <c r="R269" s="243"/>
      <c r="S269" s="252" t="s">
        <v>41</v>
      </c>
      <c r="T269" s="252" t="s">
        <v>41</v>
      </c>
      <c r="U269" s="253" t="s">
        <v>41</v>
      </c>
      <c r="V269" s="243"/>
      <c r="W269" s="244">
        <v>5</v>
      </c>
      <c r="X269" s="244"/>
      <c r="Y269" s="243"/>
      <c r="Z269" s="254"/>
      <c r="AA269" s="243" t="s">
        <v>58</v>
      </c>
      <c r="AB269" s="254">
        <v>0.2</v>
      </c>
      <c r="AC269" s="243" t="s">
        <v>59</v>
      </c>
      <c r="AD269" s="254">
        <v>0.8</v>
      </c>
      <c r="AE269" s="15" t="s">
        <v>36</v>
      </c>
      <c r="AF269" s="258" t="s">
        <v>114</v>
      </c>
      <c r="AG269" s="259"/>
    </row>
    <row r="270" spans="1:33" x14ac:dyDescent="0.4">
      <c r="A270" s="48"/>
      <c r="B270" s="92"/>
      <c r="C270" s="73"/>
      <c r="D270" s="293"/>
      <c r="E270" s="18"/>
      <c r="F270" s="294">
        <v>46840</v>
      </c>
      <c r="G270" s="295" t="s">
        <v>276</v>
      </c>
      <c r="H270" s="250" t="s">
        <v>86</v>
      </c>
      <c r="I270" s="296" t="s">
        <v>41</v>
      </c>
      <c r="J270" s="296" t="s">
        <v>41</v>
      </c>
      <c r="K270" s="296" t="s">
        <v>452</v>
      </c>
      <c r="L270" s="297" t="s">
        <v>41</v>
      </c>
      <c r="M270" s="240" t="s">
        <v>41</v>
      </c>
      <c r="N270" s="265"/>
      <c r="O270" s="265"/>
      <c r="P270" s="265"/>
      <c r="Q270" s="243"/>
      <c r="R270" s="243"/>
      <c r="S270" s="243"/>
      <c r="T270" s="243"/>
      <c r="U270" s="243"/>
      <c r="V270" s="243"/>
      <c r="W270" s="244">
        <v>5</v>
      </c>
      <c r="X270" s="244"/>
      <c r="Y270" s="243" t="s">
        <v>364</v>
      </c>
      <c r="Z270" s="254">
        <v>0.16</v>
      </c>
      <c r="AA270" s="244"/>
      <c r="AB270" s="244"/>
      <c r="AC270" s="243" t="s">
        <v>361</v>
      </c>
      <c r="AD270" s="254">
        <v>1</v>
      </c>
      <c r="AE270" s="243" t="s">
        <v>50</v>
      </c>
      <c r="AF270" s="255" t="s">
        <v>56</v>
      </c>
      <c r="AG270" s="256"/>
    </row>
    <row r="271" spans="1:33" x14ac:dyDescent="0.4">
      <c r="A271" s="48"/>
      <c r="B271" s="92"/>
      <c r="C271" s="73"/>
      <c r="D271" s="93"/>
      <c r="E271" s="18"/>
      <c r="F271" s="46">
        <v>46841</v>
      </c>
      <c r="G271" s="47" t="s">
        <v>258</v>
      </c>
      <c r="H271" s="250" t="s">
        <v>86</v>
      </c>
      <c r="I271" s="239" t="s">
        <v>41</v>
      </c>
      <c r="J271" s="239" t="s">
        <v>41</v>
      </c>
      <c r="K271" s="243"/>
      <c r="L271" s="243"/>
      <c r="M271" s="243"/>
      <c r="N271" s="241" t="s">
        <v>41</v>
      </c>
      <c r="O271" s="243"/>
      <c r="P271" s="243"/>
      <c r="Q271" s="270" t="s">
        <v>41</v>
      </c>
      <c r="R271" s="243"/>
      <c r="S271" s="243"/>
      <c r="T271" s="243"/>
      <c r="U271" s="243"/>
      <c r="V271" s="243"/>
      <c r="W271" s="244">
        <v>5</v>
      </c>
      <c r="X271" s="244"/>
      <c r="Y271" s="243"/>
      <c r="Z271" s="254"/>
      <c r="AA271" s="244"/>
      <c r="AB271" s="244"/>
      <c r="AC271" s="243" t="s">
        <v>361</v>
      </c>
      <c r="AD271" s="254">
        <v>1</v>
      </c>
      <c r="AE271" s="243" t="s">
        <v>411</v>
      </c>
      <c r="AF271" s="258" t="s">
        <v>86</v>
      </c>
      <c r="AG271" s="259"/>
    </row>
    <row r="272" spans="1:33" x14ac:dyDescent="0.4">
      <c r="A272" s="48"/>
      <c r="B272" s="49" t="str">
        <f t="shared" ref="B272:B277" si="8">IF(C272="","",C272)</f>
        <v/>
      </c>
      <c r="C272" s="45"/>
      <c r="D272" s="18"/>
      <c r="E272" s="18"/>
      <c r="F272" s="46">
        <v>46920</v>
      </c>
      <c r="G272" s="47" t="s">
        <v>430</v>
      </c>
      <c r="H272" s="250" t="s">
        <v>86</v>
      </c>
      <c r="I272" s="251"/>
      <c r="J272" s="251"/>
      <c r="K272" s="251"/>
      <c r="L272" s="243"/>
      <c r="M272" s="243"/>
      <c r="N272" s="243"/>
      <c r="O272" s="242">
        <v>7</v>
      </c>
      <c r="P272" s="243"/>
      <c r="Q272" s="243"/>
      <c r="R272" s="243"/>
      <c r="S272" s="243"/>
      <c r="T272" s="243"/>
      <c r="U272" s="243"/>
      <c r="V272" s="243"/>
      <c r="W272" s="244">
        <v>5</v>
      </c>
      <c r="X272" s="244"/>
      <c r="Y272" s="243"/>
      <c r="Z272" s="254"/>
      <c r="AA272" s="243"/>
      <c r="AB272" s="254"/>
      <c r="AC272" s="243" t="s">
        <v>36</v>
      </c>
      <c r="AD272" s="243" t="s">
        <v>36</v>
      </c>
      <c r="AE272" s="243" t="s">
        <v>36</v>
      </c>
      <c r="AF272" s="258" t="s">
        <v>86</v>
      </c>
      <c r="AG272" s="256"/>
    </row>
    <row r="273" spans="1:33" x14ac:dyDescent="0.4">
      <c r="A273" s="48"/>
      <c r="B273" s="49" t="str">
        <f t="shared" si="8"/>
        <v/>
      </c>
      <c r="C273" s="45"/>
      <c r="D273" s="18"/>
      <c r="E273" s="18"/>
      <c r="F273" s="46">
        <v>43028</v>
      </c>
      <c r="G273" s="47" t="s">
        <v>428</v>
      </c>
      <c r="H273" s="250" t="s">
        <v>86</v>
      </c>
      <c r="I273" s="251"/>
      <c r="J273" s="251"/>
      <c r="K273" s="251"/>
      <c r="L273" s="243"/>
      <c r="M273" s="243"/>
      <c r="N273" s="243"/>
      <c r="O273" s="242">
        <v>7</v>
      </c>
      <c r="P273" s="243"/>
      <c r="Q273" s="243"/>
      <c r="R273" s="243"/>
      <c r="S273" s="243"/>
      <c r="T273" s="243"/>
      <c r="U273" s="243"/>
      <c r="V273" s="243"/>
      <c r="W273" s="244">
        <v>5</v>
      </c>
      <c r="X273" s="244"/>
      <c r="Y273" s="243"/>
      <c r="Z273" s="254"/>
      <c r="AA273" s="243"/>
      <c r="AB273" s="254"/>
      <c r="AC273" s="243" t="s">
        <v>36</v>
      </c>
      <c r="AD273" s="243" t="s">
        <v>36</v>
      </c>
      <c r="AE273" s="243" t="s">
        <v>36</v>
      </c>
      <c r="AF273" s="258" t="s">
        <v>86</v>
      </c>
      <c r="AG273" s="256"/>
    </row>
    <row r="274" spans="1:33" ht="32.4" x14ac:dyDescent="0.4">
      <c r="A274" s="43"/>
      <c r="B274" s="44" t="str">
        <f t="shared" si="8"/>
        <v/>
      </c>
      <c r="C274" s="45"/>
      <c r="D274" s="18"/>
      <c r="E274" s="18"/>
      <c r="F274" s="95">
        <v>46888</v>
      </c>
      <c r="G274" s="98" t="s">
        <v>224</v>
      </c>
      <c r="H274" s="250" t="s">
        <v>86</v>
      </c>
      <c r="I274" s="243"/>
      <c r="J274" s="243"/>
      <c r="K274" s="243"/>
      <c r="L274" s="240" t="s">
        <v>41</v>
      </c>
      <c r="M274" s="240" t="s">
        <v>41</v>
      </c>
      <c r="N274" s="243"/>
      <c r="O274" s="243"/>
      <c r="P274" s="243"/>
      <c r="Q274" s="243"/>
      <c r="R274" s="243"/>
      <c r="S274" s="243"/>
      <c r="T274" s="243"/>
      <c r="U274" s="243"/>
      <c r="V274" s="243"/>
      <c r="W274" s="244">
        <v>5</v>
      </c>
      <c r="X274" s="244"/>
      <c r="Y274" s="243"/>
      <c r="Z274" s="254"/>
      <c r="AA274" s="244"/>
      <c r="AB274" s="244"/>
      <c r="AC274" s="243" t="s">
        <v>36</v>
      </c>
      <c r="AD274" s="254">
        <v>1</v>
      </c>
      <c r="AE274" s="243" t="s">
        <v>36</v>
      </c>
      <c r="AF274" s="255" t="s">
        <v>67</v>
      </c>
      <c r="AG274" s="256"/>
    </row>
    <row r="275" spans="1:33" ht="32.4" x14ac:dyDescent="0.4">
      <c r="A275" s="48"/>
      <c r="B275" s="49" t="str">
        <f t="shared" si="8"/>
        <v/>
      </c>
      <c r="C275" s="19"/>
      <c r="D275" s="18"/>
      <c r="E275" s="18"/>
      <c r="F275" s="95">
        <v>46845</v>
      </c>
      <c r="G275" s="98" t="s">
        <v>334</v>
      </c>
      <c r="H275" s="250" t="s">
        <v>86</v>
      </c>
      <c r="I275" s="239" t="s">
        <v>41</v>
      </c>
      <c r="J275" s="239" t="s">
        <v>42</v>
      </c>
      <c r="K275" s="239" t="s">
        <v>41</v>
      </c>
      <c r="L275" s="240" t="s">
        <v>41</v>
      </c>
      <c r="M275" s="240" t="s">
        <v>41</v>
      </c>
      <c r="N275" s="251"/>
      <c r="O275" s="251"/>
      <c r="P275" s="251"/>
      <c r="Q275" s="251"/>
      <c r="R275" s="251"/>
      <c r="S275" s="251"/>
      <c r="T275" s="243"/>
      <c r="U275" s="243" t="s">
        <v>300</v>
      </c>
      <c r="V275" s="243"/>
      <c r="W275" s="244">
        <v>5</v>
      </c>
      <c r="X275" s="244"/>
      <c r="Y275" s="243"/>
      <c r="Z275" s="254"/>
      <c r="AA275" s="244"/>
      <c r="AB275" s="244"/>
      <c r="AC275" s="243" t="s">
        <v>36</v>
      </c>
      <c r="AD275" s="254">
        <v>1</v>
      </c>
      <c r="AE275" s="243" t="s">
        <v>36</v>
      </c>
      <c r="AF275" s="258" t="s">
        <v>86</v>
      </c>
      <c r="AG275" s="259"/>
    </row>
    <row r="276" spans="1:33" ht="32.4" x14ac:dyDescent="0.4">
      <c r="A276" s="48"/>
      <c r="B276" s="49" t="str">
        <f t="shared" si="8"/>
        <v/>
      </c>
      <c r="C276" s="45"/>
      <c r="D276" s="18"/>
      <c r="E276" s="18"/>
      <c r="F276" s="63">
        <v>46925</v>
      </c>
      <c r="G276" s="59" t="s">
        <v>435</v>
      </c>
      <c r="H276" s="250" t="s">
        <v>433</v>
      </c>
      <c r="I276" s="245"/>
      <c r="J276" s="245"/>
      <c r="K276" s="245"/>
      <c r="L276" s="245"/>
      <c r="M276" s="245"/>
      <c r="N276" s="275"/>
      <c r="O276" s="242" t="s">
        <v>487</v>
      </c>
      <c r="P276" s="242" t="s">
        <v>487</v>
      </c>
      <c r="Q276" s="245"/>
      <c r="R276" s="245"/>
      <c r="S276" s="243"/>
      <c r="T276" s="243"/>
      <c r="U276" s="243"/>
      <c r="V276" s="243"/>
      <c r="W276" s="243">
        <v>5</v>
      </c>
      <c r="X276" s="243"/>
      <c r="Y276" s="243"/>
      <c r="Z276" s="277"/>
      <c r="AA276" s="243"/>
      <c r="AB276" s="277"/>
      <c r="AC276" s="243" t="s">
        <v>36</v>
      </c>
      <c r="AD276" s="277"/>
      <c r="AE276" s="243"/>
      <c r="AF276" s="258" t="s">
        <v>86</v>
      </c>
      <c r="AG276" s="256"/>
    </row>
    <row r="277" spans="1:33" x14ac:dyDescent="0.4">
      <c r="A277" s="48"/>
      <c r="B277" s="49" t="str">
        <f t="shared" si="8"/>
        <v/>
      </c>
      <c r="C277" s="45"/>
      <c r="D277" s="298"/>
      <c r="E277" s="18"/>
      <c r="F277" s="299">
        <v>46838</v>
      </c>
      <c r="G277" s="99" t="s">
        <v>187</v>
      </c>
      <c r="H277" s="250" t="s">
        <v>86</v>
      </c>
      <c r="I277" s="251"/>
      <c r="J277" s="251"/>
      <c r="K277" s="251"/>
      <c r="L277" s="243"/>
      <c r="M277" s="243"/>
      <c r="N277" s="243"/>
      <c r="O277" s="243"/>
      <c r="P277" s="243"/>
      <c r="Q277" s="270" t="s">
        <v>41</v>
      </c>
      <c r="R277" s="270" t="s">
        <v>41</v>
      </c>
      <c r="S277" s="243"/>
      <c r="T277" s="243"/>
      <c r="U277" s="243"/>
      <c r="V277" s="243"/>
      <c r="W277" s="244">
        <v>5</v>
      </c>
      <c r="X277" s="244"/>
      <c r="Y277" s="243"/>
      <c r="Z277" s="254"/>
      <c r="AA277" s="244"/>
      <c r="AB277" s="244"/>
      <c r="AC277" s="243" t="s">
        <v>36</v>
      </c>
      <c r="AD277" s="254">
        <v>1</v>
      </c>
      <c r="AE277" s="243" t="s">
        <v>36</v>
      </c>
      <c r="AF277" s="255" t="s">
        <v>43</v>
      </c>
      <c r="AG277" s="256"/>
    </row>
    <row r="278" spans="1:33" x14ac:dyDescent="0.4">
      <c r="A278" s="48"/>
      <c r="B278" s="44"/>
      <c r="C278" s="45"/>
      <c r="D278" s="18"/>
      <c r="E278" s="18"/>
      <c r="F278" s="46">
        <v>41034</v>
      </c>
      <c r="G278" s="47" t="s">
        <v>425</v>
      </c>
      <c r="H278" s="250" t="s">
        <v>86</v>
      </c>
      <c r="I278" s="243"/>
      <c r="J278" s="243"/>
      <c r="K278" s="243"/>
      <c r="L278" s="243"/>
      <c r="M278" s="243"/>
      <c r="N278" s="243"/>
      <c r="O278" s="242">
        <v>7</v>
      </c>
      <c r="P278" s="176"/>
      <c r="Q278" s="243"/>
      <c r="R278" s="243"/>
      <c r="S278" s="243"/>
      <c r="T278" s="243"/>
      <c r="U278" s="243"/>
      <c r="V278" s="243"/>
      <c r="W278" s="244">
        <v>5</v>
      </c>
      <c r="X278" s="244"/>
      <c r="Y278" s="243"/>
      <c r="Z278" s="254"/>
      <c r="AA278" s="244"/>
      <c r="AB278" s="244"/>
      <c r="AC278" s="243" t="s">
        <v>36</v>
      </c>
      <c r="AD278" s="254"/>
      <c r="AE278" s="243" t="s">
        <v>36</v>
      </c>
      <c r="AF278" s="258" t="s">
        <v>86</v>
      </c>
      <c r="AG278" s="255"/>
    </row>
    <row r="279" spans="1:33" x14ac:dyDescent="0.4">
      <c r="A279" s="48"/>
      <c r="B279" s="49" t="str">
        <f>IF(C279="","",C279)</f>
        <v/>
      </c>
      <c r="C279" s="45"/>
      <c r="D279" s="18"/>
      <c r="E279" s="18"/>
      <c r="F279" s="95">
        <v>46849</v>
      </c>
      <c r="G279" s="98" t="s">
        <v>221</v>
      </c>
      <c r="H279" s="250" t="s">
        <v>86</v>
      </c>
      <c r="I279" s="239" t="s">
        <v>41</v>
      </c>
      <c r="J279" s="239" t="s">
        <v>41</v>
      </c>
      <c r="K279" s="239" t="s">
        <v>41</v>
      </c>
      <c r="L279" s="243"/>
      <c r="M279" s="240" t="s">
        <v>41</v>
      </c>
      <c r="N279" s="243"/>
      <c r="O279" s="243"/>
      <c r="P279" s="243"/>
      <c r="Q279" s="173" t="s">
        <v>41</v>
      </c>
      <c r="R279" s="173" t="s">
        <v>41</v>
      </c>
      <c r="S279" s="15"/>
      <c r="T279" s="15"/>
      <c r="U279" s="243"/>
      <c r="V279" s="243"/>
      <c r="W279" s="244">
        <v>5</v>
      </c>
      <c r="X279" s="244"/>
      <c r="Y279" s="243"/>
      <c r="Z279" s="254"/>
      <c r="AA279" s="244"/>
      <c r="AB279" s="244"/>
      <c r="AC279" s="243" t="s">
        <v>36</v>
      </c>
      <c r="AD279" s="254">
        <v>1</v>
      </c>
      <c r="AE279" s="243" t="s">
        <v>36</v>
      </c>
      <c r="AF279" s="255" t="s">
        <v>91</v>
      </c>
      <c r="AG279" s="256"/>
    </row>
    <row r="280" spans="1:33" ht="81" x14ac:dyDescent="0.4">
      <c r="A280" s="300"/>
      <c r="B280" s="44" t="str">
        <f>IF(C280="","",C280)</f>
        <v/>
      </c>
      <c r="C280" s="45"/>
      <c r="D280" s="243"/>
      <c r="E280" s="176"/>
      <c r="F280" s="46">
        <v>41102</v>
      </c>
      <c r="G280" s="47" t="s">
        <v>80</v>
      </c>
      <c r="H280" s="250" t="s">
        <v>508</v>
      </c>
      <c r="I280" s="243"/>
      <c r="J280" s="243"/>
      <c r="K280" s="243"/>
      <c r="L280" s="240">
        <v>1</v>
      </c>
      <c r="M280" s="240">
        <v>1</v>
      </c>
      <c r="N280" s="241">
        <v>3</v>
      </c>
      <c r="O280" s="243"/>
      <c r="P280" s="243"/>
      <c r="Q280" s="243"/>
      <c r="R280" s="243"/>
      <c r="S280" s="243"/>
      <c r="T280" s="243"/>
      <c r="U280" s="243"/>
      <c r="V280" s="243"/>
      <c r="W280" s="244">
        <v>2.5</v>
      </c>
      <c r="X280" s="243" t="s">
        <v>48</v>
      </c>
      <c r="Y280" s="245"/>
      <c r="Z280" s="248"/>
      <c r="AA280" s="245"/>
      <c r="AB280" s="245"/>
      <c r="AC280" s="245" t="s">
        <v>59</v>
      </c>
      <c r="AD280" s="246">
        <v>1</v>
      </c>
      <c r="AE280" s="243" t="s">
        <v>36</v>
      </c>
      <c r="AF280" s="249" t="s">
        <v>81</v>
      </c>
      <c r="AG280" s="249"/>
    </row>
    <row r="281" spans="1:33" x14ac:dyDescent="0.4">
      <c r="A281" s="48"/>
      <c r="B281" s="49" t="str">
        <f>IF(C281="","",C281)</f>
        <v/>
      </c>
      <c r="C281" s="45"/>
      <c r="D281" s="301"/>
      <c r="E281" s="18"/>
      <c r="F281" s="94">
        <v>46873</v>
      </c>
      <c r="G281" s="98" t="s">
        <v>85</v>
      </c>
      <c r="H281" s="250" t="s">
        <v>86</v>
      </c>
      <c r="I281" s="251"/>
      <c r="J281" s="251"/>
      <c r="K281" s="251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4">
        <v>5</v>
      </c>
      <c r="X281" s="244"/>
      <c r="Y281" s="243"/>
      <c r="Z281" s="254"/>
      <c r="AA281" s="244"/>
      <c r="AB281" s="244"/>
      <c r="AC281" s="243" t="s">
        <v>36</v>
      </c>
      <c r="AD281" s="254">
        <v>1</v>
      </c>
      <c r="AE281" s="243" t="s">
        <v>36</v>
      </c>
      <c r="AF281" s="258" t="s">
        <v>86</v>
      </c>
      <c r="AG281" s="259"/>
    </row>
    <row r="282" spans="1:33" x14ac:dyDescent="0.4">
      <c r="A282" s="48"/>
      <c r="B282" s="49" t="str">
        <f>IF(C282="","",C282)</f>
        <v/>
      </c>
      <c r="C282" s="45"/>
      <c r="D282" s="18"/>
      <c r="E282" s="18"/>
      <c r="F282" s="302">
        <v>46861</v>
      </c>
      <c r="G282" s="303" t="s">
        <v>283</v>
      </c>
      <c r="H282" s="260" t="s">
        <v>185</v>
      </c>
      <c r="I282" s="251"/>
      <c r="J282" s="251"/>
      <c r="K282" s="251"/>
      <c r="L282" s="243"/>
      <c r="M282" s="243"/>
      <c r="N282" s="243"/>
      <c r="O282" s="243"/>
      <c r="P282" s="243"/>
      <c r="Q282" s="243"/>
      <c r="R282" s="243"/>
      <c r="S282" s="252" t="s">
        <v>11</v>
      </c>
      <c r="T282" s="252" t="s">
        <v>41</v>
      </c>
      <c r="U282" s="253" t="s">
        <v>41</v>
      </c>
      <c r="V282" s="243"/>
      <c r="W282" s="244">
        <v>5</v>
      </c>
      <c r="X282" s="244"/>
      <c r="Y282" s="243"/>
      <c r="Z282" s="254"/>
      <c r="AA282" s="244" t="s">
        <v>284</v>
      </c>
      <c r="AB282" s="254">
        <v>0.25</v>
      </c>
      <c r="AC282" s="243" t="s">
        <v>59</v>
      </c>
      <c r="AD282" s="254">
        <v>0.75</v>
      </c>
      <c r="AE282" s="243" t="s">
        <v>36</v>
      </c>
      <c r="AF282" s="258" t="s">
        <v>266</v>
      </c>
      <c r="AG282" s="259"/>
    </row>
    <row r="283" spans="1:33" x14ac:dyDescent="0.4">
      <c r="A283" s="48"/>
      <c r="B283" s="49" t="str">
        <f>IF(C283="","",C283)</f>
        <v/>
      </c>
      <c r="C283" s="45"/>
      <c r="D283" s="18"/>
      <c r="E283" s="18"/>
      <c r="F283" s="95">
        <v>46856</v>
      </c>
      <c r="G283" s="98" t="s">
        <v>222</v>
      </c>
      <c r="H283" s="250" t="s">
        <v>86</v>
      </c>
      <c r="I283" s="251"/>
      <c r="J283" s="251"/>
      <c r="K283" s="251"/>
      <c r="L283" s="243"/>
      <c r="M283" s="243"/>
      <c r="N283" s="243"/>
      <c r="O283" s="243"/>
      <c r="P283" s="243"/>
      <c r="Q283" s="173" t="s">
        <v>41</v>
      </c>
      <c r="R283" s="173" t="s">
        <v>41</v>
      </c>
      <c r="S283" s="15"/>
      <c r="T283" s="15"/>
      <c r="U283" s="243"/>
      <c r="V283" s="243"/>
      <c r="W283" s="244">
        <v>5</v>
      </c>
      <c r="X283" s="244"/>
      <c r="Y283" s="243"/>
      <c r="Z283" s="254"/>
      <c r="AA283" s="244"/>
      <c r="AB283" s="244"/>
      <c r="AC283" s="243" t="s">
        <v>36</v>
      </c>
      <c r="AD283" s="254">
        <v>1</v>
      </c>
      <c r="AE283" s="243" t="s">
        <v>36</v>
      </c>
      <c r="AF283" s="258" t="s">
        <v>86</v>
      </c>
      <c r="AG283" s="259"/>
    </row>
    <row r="284" spans="1:33" x14ac:dyDescent="0.4">
      <c r="A284" s="1"/>
      <c r="D284" s="10"/>
      <c r="H284" s="118"/>
    </row>
    <row r="285" spans="1:33" x14ac:dyDescent="0.4">
      <c r="A285" s="1"/>
      <c r="D285" s="10"/>
      <c r="H285" s="118"/>
    </row>
    <row r="286" spans="1:33" x14ac:dyDescent="0.4">
      <c r="A286" s="1"/>
      <c r="D286" s="10"/>
      <c r="H286" s="118"/>
    </row>
    <row r="287" spans="1:33" x14ac:dyDescent="0.4">
      <c r="A287" s="1"/>
      <c r="D287" s="10"/>
    </row>
    <row r="288" spans="1:33" x14ac:dyDescent="0.4">
      <c r="A288" s="1"/>
      <c r="D288" s="10"/>
    </row>
    <row r="289" spans="1:15" x14ac:dyDescent="0.4">
      <c r="A289" s="1"/>
      <c r="D289" s="10"/>
    </row>
    <row r="290" spans="1:15" x14ac:dyDescent="0.4">
      <c r="A290" s="1"/>
      <c r="D290" s="10"/>
    </row>
    <row r="291" spans="1:15" x14ac:dyDescent="0.4">
      <c r="A291" s="1"/>
      <c r="D291" s="10"/>
    </row>
    <row r="292" spans="1:15" x14ac:dyDescent="0.4">
      <c r="A292" s="1"/>
      <c r="D292" s="10"/>
    </row>
    <row r="293" spans="1:15" x14ac:dyDescent="0.4">
      <c r="A293" s="1"/>
      <c r="D293" s="10"/>
    </row>
    <row r="294" spans="1:15" x14ac:dyDescent="0.4">
      <c r="A294" s="1"/>
      <c r="D294" s="10"/>
    </row>
    <row r="295" spans="1:15" x14ac:dyDescent="0.4">
      <c r="A295" s="1"/>
      <c r="D295" s="10"/>
      <c r="I295" s="1" t="s">
        <v>300</v>
      </c>
    </row>
    <row r="296" spans="1:15" x14ac:dyDescent="0.4">
      <c r="A296" s="1"/>
      <c r="D296" s="10"/>
    </row>
    <row r="297" spans="1:15" x14ac:dyDescent="0.4">
      <c r="A297" s="1"/>
      <c r="D297" s="10"/>
      <c r="O297" s="1" t="s">
        <v>300</v>
      </c>
    </row>
    <row r="298" spans="1:15" x14ac:dyDescent="0.4">
      <c r="A298" s="1"/>
      <c r="D298" s="10"/>
    </row>
    <row r="299" spans="1:15" x14ac:dyDescent="0.4">
      <c r="A299" s="1"/>
      <c r="D299" s="10"/>
    </row>
    <row r="300" spans="1:15" x14ac:dyDescent="0.4">
      <c r="A300" s="1"/>
      <c r="D300" s="10"/>
    </row>
    <row r="301" spans="1:15" x14ac:dyDescent="0.4">
      <c r="A301" s="1"/>
      <c r="D301" s="10"/>
    </row>
    <row r="302" spans="1:15" x14ac:dyDescent="0.4">
      <c r="A302" s="1"/>
      <c r="D302" s="10"/>
    </row>
    <row r="303" spans="1:15" x14ac:dyDescent="0.4">
      <c r="A303" s="1"/>
      <c r="D303" s="10"/>
    </row>
    <row r="304" spans="1:15" x14ac:dyDescent="0.4">
      <c r="A304" s="1"/>
      <c r="D304" s="10"/>
    </row>
    <row r="305" spans="1:4" x14ac:dyDescent="0.4">
      <c r="A305" s="1"/>
      <c r="D305" s="10"/>
    </row>
    <row r="306" spans="1:4" x14ac:dyDescent="0.4">
      <c r="A306" s="1"/>
      <c r="D306" s="10"/>
    </row>
    <row r="307" spans="1:4" x14ac:dyDescent="0.4">
      <c r="A307" s="1"/>
      <c r="D307" s="10"/>
    </row>
    <row r="308" spans="1:4" x14ac:dyDescent="0.4">
      <c r="A308" s="1"/>
      <c r="D308" s="10"/>
    </row>
    <row r="309" spans="1:4" x14ac:dyDescent="0.4">
      <c r="A309" s="1"/>
      <c r="D309" s="10"/>
    </row>
    <row r="310" spans="1:4" x14ac:dyDescent="0.4">
      <c r="A310" s="1"/>
      <c r="D310" s="10"/>
    </row>
    <row r="311" spans="1:4" x14ac:dyDescent="0.4">
      <c r="A311" s="1"/>
      <c r="D311" s="10"/>
    </row>
    <row r="312" spans="1:4" x14ac:dyDescent="0.4">
      <c r="A312" s="1"/>
      <c r="D312" s="10"/>
    </row>
    <row r="313" spans="1:4" x14ac:dyDescent="0.4">
      <c r="A313" s="1"/>
      <c r="D313" s="10"/>
    </row>
    <row r="314" spans="1:4" x14ac:dyDescent="0.4">
      <c r="A314" s="1"/>
      <c r="D314" s="10"/>
    </row>
    <row r="315" spans="1:4" x14ac:dyDescent="0.4">
      <c r="A315" s="1"/>
      <c r="D315" s="10"/>
    </row>
    <row r="316" spans="1:4" x14ac:dyDescent="0.4">
      <c r="A316" s="1"/>
      <c r="D316" s="10"/>
    </row>
    <row r="317" spans="1:4" x14ac:dyDescent="0.4">
      <c r="A317" s="1"/>
      <c r="D317" s="10"/>
    </row>
    <row r="318" spans="1:4" x14ac:dyDescent="0.4">
      <c r="A318" s="1"/>
      <c r="D318" s="10"/>
    </row>
    <row r="319" spans="1:4" x14ac:dyDescent="0.4">
      <c r="A319" s="1"/>
      <c r="D319" s="10"/>
    </row>
    <row r="320" spans="1:4" x14ac:dyDescent="0.4">
      <c r="A320" s="1"/>
      <c r="D320" s="10"/>
    </row>
    <row r="321" spans="1:33" x14ac:dyDescent="0.4">
      <c r="A321" s="1"/>
      <c r="D321" s="10"/>
    </row>
    <row r="322" spans="1:33" x14ac:dyDescent="0.4">
      <c r="A322" s="1"/>
      <c r="D322" s="10"/>
    </row>
    <row r="323" spans="1:33" x14ac:dyDescent="0.4">
      <c r="A323" s="1"/>
      <c r="D323" s="10"/>
    </row>
    <row r="324" spans="1:33" x14ac:dyDescent="0.4">
      <c r="A324" s="1"/>
      <c r="D324" s="10"/>
    </row>
    <row r="325" spans="1:33" x14ac:dyDescent="0.4">
      <c r="A325" s="1"/>
      <c r="D325" s="10"/>
    </row>
    <row r="326" spans="1:33" x14ac:dyDescent="0.4">
      <c r="A326" s="1"/>
      <c r="D326" s="10"/>
    </row>
    <row r="327" spans="1:33" x14ac:dyDescent="0.4">
      <c r="A327" s="1"/>
      <c r="D327" s="10"/>
    </row>
    <row r="328" spans="1:33" x14ac:dyDescent="0.4">
      <c r="A328" s="1"/>
      <c r="D328" s="10"/>
    </row>
    <row r="329" spans="1:33" x14ac:dyDescent="0.4">
      <c r="A329" s="1"/>
      <c r="D329" s="10"/>
    </row>
    <row r="330" spans="1:33" x14ac:dyDescent="0.4">
      <c r="A330" s="1"/>
      <c r="D330" s="10"/>
      <c r="AF330" s="1"/>
      <c r="AG330" s="1"/>
    </row>
    <row r="331" spans="1:33" x14ac:dyDescent="0.4">
      <c r="A331" s="1"/>
      <c r="D331" s="10"/>
      <c r="AF331" s="1"/>
      <c r="AG331" s="1"/>
    </row>
    <row r="332" spans="1:33" x14ac:dyDescent="0.4">
      <c r="A332" s="1"/>
      <c r="D332" s="10"/>
      <c r="AF332" s="1"/>
      <c r="AG332" s="1"/>
    </row>
    <row r="333" spans="1:33" x14ac:dyDescent="0.4">
      <c r="A333" s="1"/>
      <c r="D333" s="10"/>
      <c r="AF333" s="1"/>
      <c r="AG333" s="1"/>
    </row>
    <row r="334" spans="1:33" x14ac:dyDescent="0.4">
      <c r="A334" s="1"/>
      <c r="D334" s="10"/>
      <c r="AF334" s="1"/>
      <c r="AG334" s="1"/>
    </row>
    <row r="335" spans="1:33" x14ac:dyDescent="0.4">
      <c r="A335" s="1"/>
      <c r="D335" s="10"/>
      <c r="AF335" s="1"/>
      <c r="AG335" s="1"/>
    </row>
    <row r="336" spans="1:33" x14ac:dyDescent="0.4">
      <c r="A336" s="1"/>
      <c r="D336" s="10"/>
      <c r="AF336" s="1"/>
      <c r="AG336" s="1"/>
    </row>
    <row r="337" spans="1:33" x14ac:dyDescent="0.4">
      <c r="A337" s="1"/>
      <c r="D337" s="10"/>
      <c r="AF337" s="1"/>
      <c r="AG337" s="1"/>
    </row>
    <row r="338" spans="1:33" x14ac:dyDescent="0.4">
      <c r="A338" s="1"/>
      <c r="D338" s="10"/>
      <c r="AF338" s="1"/>
      <c r="AG338" s="1"/>
    </row>
    <row r="339" spans="1:33" x14ac:dyDescent="0.4">
      <c r="A339" s="1"/>
      <c r="D339" s="10"/>
      <c r="AF339" s="1"/>
      <c r="AG339" s="1"/>
    </row>
    <row r="340" spans="1:33" x14ac:dyDescent="0.4">
      <c r="A340" s="1"/>
      <c r="D340" s="10"/>
      <c r="AF340" s="1"/>
      <c r="AG340" s="1"/>
    </row>
    <row r="341" spans="1:33" x14ac:dyDescent="0.4">
      <c r="A341" s="1"/>
      <c r="D341" s="10"/>
      <c r="AF341" s="1"/>
      <c r="AG341" s="1"/>
    </row>
    <row r="342" spans="1:33" x14ac:dyDescent="0.4">
      <c r="A342" s="1"/>
      <c r="D342" s="10"/>
      <c r="AF342" s="1"/>
      <c r="AG342" s="1"/>
    </row>
    <row r="343" spans="1:33" x14ac:dyDescent="0.4">
      <c r="A343" s="1"/>
      <c r="D343" s="10"/>
      <c r="AF343" s="1"/>
      <c r="AG343" s="1"/>
    </row>
    <row r="344" spans="1:33" x14ac:dyDescent="0.4">
      <c r="A344" s="1"/>
      <c r="D344" s="10"/>
      <c r="AF344" s="1"/>
      <c r="AG344" s="1"/>
    </row>
    <row r="345" spans="1:33" x14ac:dyDescent="0.4">
      <c r="A345" s="1"/>
      <c r="D345" s="10"/>
      <c r="AF345" s="1"/>
      <c r="AG345" s="1"/>
    </row>
    <row r="346" spans="1:33" x14ac:dyDescent="0.4">
      <c r="A346" s="1"/>
      <c r="D346" s="10"/>
      <c r="AF346" s="1"/>
      <c r="AG346" s="1"/>
    </row>
    <row r="347" spans="1:33" x14ac:dyDescent="0.4">
      <c r="A347" s="1"/>
      <c r="D347" s="10"/>
      <c r="AF347" s="1"/>
      <c r="AG347" s="1"/>
    </row>
    <row r="348" spans="1:33" x14ac:dyDescent="0.4">
      <c r="A348" s="1"/>
      <c r="D348" s="10"/>
      <c r="AF348" s="1"/>
      <c r="AG348" s="1"/>
    </row>
    <row r="349" spans="1:33" x14ac:dyDescent="0.4">
      <c r="A349" s="1"/>
      <c r="D349" s="10"/>
      <c r="AF349" s="1"/>
      <c r="AG349" s="1"/>
    </row>
    <row r="350" spans="1:33" x14ac:dyDescent="0.4">
      <c r="A350" s="1"/>
      <c r="D350" s="10"/>
      <c r="AF350" s="1"/>
      <c r="AG350" s="1"/>
    </row>
    <row r="351" spans="1:33" x14ac:dyDescent="0.4">
      <c r="A351" s="1"/>
      <c r="D351" s="10"/>
      <c r="AF351" s="1"/>
      <c r="AG351" s="1"/>
    </row>
    <row r="352" spans="1:33" x14ac:dyDescent="0.4">
      <c r="A352" s="1"/>
      <c r="D352" s="10"/>
      <c r="AF352" s="1"/>
      <c r="AG352" s="1"/>
    </row>
    <row r="353" spans="1:33" x14ac:dyDescent="0.4">
      <c r="A353" s="1"/>
      <c r="D353" s="10"/>
      <c r="AF353" s="1"/>
      <c r="AG353" s="1"/>
    </row>
  </sheetData>
  <autoFilter ref="A9:AG283" xr:uid="{00000000-0001-0000-0000-000000000000}">
    <sortState xmlns:xlrd2="http://schemas.microsoft.com/office/spreadsheetml/2017/richdata2" ref="A10:AG283">
      <sortCondition ref="C9:C283"/>
    </sortState>
  </autoFilter>
  <mergeCells count="33">
    <mergeCell ref="AF1:AG4"/>
    <mergeCell ref="S1:T1"/>
    <mergeCell ref="S5:T5"/>
    <mergeCell ref="S3:T3"/>
    <mergeCell ref="AG6:AG8"/>
    <mergeCell ref="AC7:AE7"/>
    <mergeCell ref="X6:X8"/>
    <mergeCell ref="W6:W8"/>
    <mergeCell ref="I6:V8"/>
    <mergeCell ref="I3:K3"/>
    <mergeCell ref="I5:K5"/>
    <mergeCell ref="L1:M1"/>
    <mergeCell ref="AF6:AF8"/>
    <mergeCell ref="O1:P1"/>
    <mergeCell ref="O3:P3"/>
    <mergeCell ref="Y6:AB6"/>
    <mergeCell ref="AA7:AB7"/>
    <mergeCell ref="O5:P5"/>
    <mergeCell ref="Q4:R4"/>
    <mergeCell ref="Q3:R3"/>
    <mergeCell ref="Q5:R5"/>
    <mergeCell ref="X1:AE5"/>
    <mergeCell ref="Q1:R1"/>
    <mergeCell ref="AC6:AE6"/>
    <mergeCell ref="A1:C1"/>
    <mergeCell ref="I1:K1"/>
    <mergeCell ref="B2:E2"/>
    <mergeCell ref="Y7:Z7"/>
    <mergeCell ref="H6:H8"/>
    <mergeCell ref="F1:F4"/>
    <mergeCell ref="E7:E8"/>
    <mergeCell ref="A3:E6"/>
    <mergeCell ref="B7:D7"/>
  </mergeCells>
  <phoneticPr fontId="13" type="noConversion"/>
  <conditionalFormatting sqref="B14 B28:B36 B171 B181 B184 B187 B189:B190 B236:B238 B12 B110:B135 B137:B168 B43:B51 B53:B108 B193:B214 B253:B270 B272:B283 B175:B179">
    <cfRule type="expression" dxfId="64" priority="2811">
      <formula>(WEEKDAY( INDIRECT(ADDRESS(ROW(),COLUMN())) ) =6)</formula>
    </cfRule>
  </conditionalFormatting>
  <conditionalFormatting sqref="B14 B28:B36 B171 B181 B184 B187 B189:B190 B236:B238 B12 B110:B135 B137:B168 B43:B51 B53:B108 B193:B214 B253:B270 B272:B283 B175:B179">
    <cfRule type="expression" dxfId="63" priority="2810">
      <formula>(WEEKDAY( INDIRECT(ADDRESS(ROW(),COLUMN())) ) =5)</formula>
    </cfRule>
  </conditionalFormatting>
  <conditionalFormatting sqref="B14 B28:B36 B171 B181 B184 B187 B189:B190 B236:B238 B12 B110:B135 B137:B168 B43:B51 B53:B108 B193:B214 B253:B270 B272:B283 B175:B179">
    <cfRule type="expression" dxfId="62" priority="2809">
      <formula>(WEEKDAY( INDIRECT(ADDRESS(ROW(),COLUMN())) ) =4)</formula>
    </cfRule>
  </conditionalFormatting>
  <conditionalFormatting sqref="B14 B28:B36 B171 B181 B184 B187 B189:B190 B236:B238 B12 B110:B135 B137:B168 B43:B51 B53:B108 B193:B214 B253:B270 B272:B283 B175:B179">
    <cfRule type="expression" dxfId="61" priority="2808">
      <formula>(WEEKDAY( INDIRECT(ADDRESS(ROW(),COLUMN())) ) =3)</formula>
    </cfRule>
  </conditionalFormatting>
  <conditionalFormatting sqref="B14 B28:B36 B171 B181 B184 B187 B189:B190 B236:B238 B12 B110:B135 B137:B168 B43:B51 B53:B108 B193:B214 B253:B270 B272:B283 B175:B179">
    <cfRule type="expression" dxfId="60" priority="2807">
      <formula>(WEEKDAY( INDIRECT(ADDRESS(ROW(),COLUMN())) ) = 2)</formula>
    </cfRule>
  </conditionalFormatting>
  <conditionalFormatting sqref="B136">
    <cfRule type="expression" dxfId="59" priority="1426">
      <formula>(WEEKDAY( INDIRECT(ADDRESS(ROW(),COLUMN())) ) =6)</formula>
    </cfRule>
  </conditionalFormatting>
  <conditionalFormatting sqref="B136">
    <cfRule type="expression" dxfId="58" priority="1425">
      <formula>(WEEKDAY( INDIRECT(ADDRESS(ROW(),COLUMN())) ) =5)</formula>
    </cfRule>
  </conditionalFormatting>
  <conditionalFormatting sqref="B136">
    <cfRule type="expression" dxfId="57" priority="1424">
      <formula>(WEEKDAY( INDIRECT(ADDRESS(ROW(),COLUMN())) ) =4)</formula>
    </cfRule>
  </conditionalFormatting>
  <conditionalFormatting sqref="B136">
    <cfRule type="expression" dxfId="56" priority="1423">
      <formula>(WEEKDAY( INDIRECT(ADDRESS(ROW(),COLUMN())) ) =3)</formula>
    </cfRule>
  </conditionalFormatting>
  <conditionalFormatting sqref="B136">
    <cfRule type="expression" dxfId="55" priority="1422">
      <formula>(WEEKDAY( INDIRECT(ADDRESS(ROW(),COLUMN())) ) = 2)</formula>
    </cfRule>
  </conditionalFormatting>
  <conditionalFormatting sqref="B13">
    <cfRule type="expression" dxfId="54" priority="926">
      <formula>(WEEKDAY( INDIRECT(ADDRESS(ROW(),COLUMN())) ) =6)</formula>
    </cfRule>
  </conditionalFormatting>
  <conditionalFormatting sqref="B13">
    <cfRule type="expression" dxfId="53" priority="925">
      <formula>(WEEKDAY( INDIRECT(ADDRESS(ROW(),COLUMN())) ) =5)</formula>
    </cfRule>
  </conditionalFormatting>
  <conditionalFormatting sqref="B13">
    <cfRule type="expression" dxfId="52" priority="924">
      <formula>(WEEKDAY( INDIRECT(ADDRESS(ROW(),COLUMN())) ) =4)</formula>
    </cfRule>
  </conditionalFormatting>
  <conditionalFormatting sqref="B13">
    <cfRule type="expression" dxfId="51" priority="923">
      <formula>(WEEKDAY( INDIRECT(ADDRESS(ROW(),COLUMN())) ) =3)</formula>
    </cfRule>
  </conditionalFormatting>
  <conditionalFormatting sqref="B13">
    <cfRule type="expression" dxfId="50" priority="922">
      <formula>(WEEKDAY( INDIRECT(ADDRESS(ROW(),COLUMN())) ) = 2)</formula>
    </cfRule>
  </conditionalFormatting>
  <conditionalFormatting sqref="B109">
    <cfRule type="expression" dxfId="49" priority="869">
      <formula>(WEEKDAY( INDIRECT(ADDRESS(ROW(),COLUMN())) ) =6)</formula>
    </cfRule>
  </conditionalFormatting>
  <conditionalFormatting sqref="B109">
    <cfRule type="expression" dxfId="48" priority="868">
      <formula>(WEEKDAY( INDIRECT(ADDRESS(ROW(),COLUMN())) ) =5)</formula>
    </cfRule>
  </conditionalFormatting>
  <conditionalFormatting sqref="B109">
    <cfRule type="expression" dxfId="47" priority="867">
      <formula>(WEEKDAY( INDIRECT(ADDRESS(ROW(),COLUMN())) ) =4)</formula>
    </cfRule>
  </conditionalFormatting>
  <conditionalFormatting sqref="B109">
    <cfRule type="expression" dxfId="46" priority="866">
      <formula>(WEEKDAY( INDIRECT(ADDRESS(ROW(),COLUMN())) ) =3)</formula>
    </cfRule>
  </conditionalFormatting>
  <conditionalFormatting sqref="B109">
    <cfRule type="expression" dxfId="45" priority="865">
      <formula>(WEEKDAY( INDIRECT(ADDRESS(ROW(),COLUMN())) ) = 2)</formula>
    </cfRule>
  </conditionalFormatting>
  <conditionalFormatting sqref="B37:B42">
    <cfRule type="expression" dxfId="44" priority="666">
      <formula>(WEEKDAY( INDIRECT(ADDRESS(ROW(),COLUMN())) ) =6)</formula>
    </cfRule>
  </conditionalFormatting>
  <conditionalFormatting sqref="B37:B42">
    <cfRule type="expression" dxfId="43" priority="665">
      <formula>(WEEKDAY( INDIRECT(ADDRESS(ROW(),COLUMN())) ) =5)</formula>
    </cfRule>
  </conditionalFormatting>
  <conditionalFormatting sqref="B37:B42">
    <cfRule type="expression" dxfId="42" priority="664">
      <formula>(WEEKDAY( INDIRECT(ADDRESS(ROW(),COLUMN())) ) =4)</formula>
    </cfRule>
  </conditionalFormatting>
  <conditionalFormatting sqref="B37:B42">
    <cfRule type="expression" dxfId="41" priority="663">
      <formula>(WEEKDAY( INDIRECT(ADDRESS(ROW(),COLUMN())) ) =3)</formula>
    </cfRule>
  </conditionalFormatting>
  <conditionalFormatting sqref="B37:B42">
    <cfRule type="expression" dxfId="40" priority="662">
      <formula>(WEEKDAY( INDIRECT(ADDRESS(ROW(),COLUMN())) ) = 2)</formula>
    </cfRule>
  </conditionalFormatting>
  <conditionalFormatting sqref="B52 B169:B170 B172 B180 B182:B183 B185:B186 B188 B191:B192 B15:B27 B174 B215:B216 B218:B220 B222:B225 B227:B228 B230:B235 B239:B252">
    <cfRule type="expression" dxfId="39" priority="554">
      <formula>(WEEKDAY( INDIRECT(ADDRESS(ROW(),COLUMN())) ) =6)</formula>
    </cfRule>
  </conditionalFormatting>
  <conditionalFormatting sqref="B52 B169:B170 B172 B180 B182:B183 B185:B186 B188 B191:B192 B15:B27 B174 B215:B216 B218:B220 B222:B225 B227:B228 B230:B235 B239:B252">
    <cfRule type="expression" dxfId="38" priority="553">
      <formula>(WEEKDAY( INDIRECT(ADDRESS(ROW(),COLUMN())) ) =5)</formula>
    </cfRule>
  </conditionalFormatting>
  <conditionalFormatting sqref="B52 B169:B170 B172 B180 B182:B183 B185:B186 B188 B191:B192 B15:B27 B174 B215:B216 B218:B220 B222:B225 B227:B228 B230:B235 B239:B252">
    <cfRule type="expression" dxfId="37" priority="552">
      <formula>(WEEKDAY( INDIRECT(ADDRESS(ROW(),COLUMN())) ) =4)</formula>
    </cfRule>
  </conditionalFormatting>
  <conditionalFormatting sqref="B52 B169:B170 B172 B180 B182:B183 B185:B186 B188 B191:B192 B15:B27 B174 B215:B216 B218:B220 B222:B225 B227:B228 B230:B235 B239:B252">
    <cfRule type="expression" dxfId="36" priority="551">
      <formula>(WEEKDAY( INDIRECT(ADDRESS(ROW(),COLUMN())) ) =3)</formula>
    </cfRule>
  </conditionalFormatting>
  <conditionalFormatting sqref="B52 B169:B170 B172 B180 B182:B183 B185:B186 B188 B191:B192 B15:B27 B174 B215:B216 B218:B220 B222:B225 B227:B228 B230:B235 B239:B252">
    <cfRule type="expression" dxfId="35" priority="550">
      <formula>(WEEKDAY( INDIRECT(ADDRESS(ROW(),COLUMN())) ) = 2)</formula>
    </cfRule>
  </conditionalFormatting>
  <conditionalFormatting sqref="B10:B11">
    <cfRule type="expression" dxfId="34" priority="325">
      <formula>(WEEKDAY( INDIRECT(ADDRESS(ROW(),COLUMN())) ) =6)</formula>
    </cfRule>
  </conditionalFormatting>
  <conditionalFormatting sqref="B10:B11">
    <cfRule type="expression" dxfId="33" priority="324">
      <formula>(WEEKDAY( INDIRECT(ADDRESS(ROW(),COLUMN())) ) =5)</formula>
    </cfRule>
  </conditionalFormatting>
  <conditionalFormatting sqref="B10:B11">
    <cfRule type="expression" dxfId="32" priority="323">
      <formula>(WEEKDAY( INDIRECT(ADDRESS(ROW(),COLUMN())) ) =4)</formula>
    </cfRule>
  </conditionalFormatting>
  <conditionalFormatting sqref="B10:B11">
    <cfRule type="expression" dxfId="31" priority="322">
      <formula>(WEEKDAY( INDIRECT(ADDRESS(ROW(),COLUMN())) ) =3)</formula>
    </cfRule>
  </conditionalFormatting>
  <conditionalFormatting sqref="B10:B11">
    <cfRule type="expression" dxfId="30" priority="321">
      <formula>(WEEKDAY( INDIRECT(ADDRESS(ROW(),COLUMN())) ) = 2)</formula>
    </cfRule>
  </conditionalFormatting>
  <conditionalFormatting sqref="B173">
    <cfRule type="expression" dxfId="29" priority="68">
      <formula>(WEEKDAY( INDIRECT(ADDRESS(ROW(),COLUMN())) ) =6)</formula>
    </cfRule>
  </conditionalFormatting>
  <conditionalFormatting sqref="B173">
    <cfRule type="expression" dxfId="28" priority="67">
      <formula>(WEEKDAY( INDIRECT(ADDRESS(ROW(),COLUMN())) ) =5)</formula>
    </cfRule>
  </conditionalFormatting>
  <conditionalFormatting sqref="B173">
    <cfRule type="expression" dxfId="27" priority="66">
      <formula>(WEEKDAY( INDIRECT(ADDRESS(ROW(),COLUMN())) ) =4)</formula>
    </cfRule>
  </conditionalFormatting>
  <conditionalFormatting sqref="B173">
    <cfRule type="expression" dxfId="26" priority="65">
      <formula>(WEEKDAY( INDIRECT(ADDRESS(ROW(),COLUMN())) ) =3)</formula>
    </cfRule>
  </conditionalFormatting>
  <conditionalFormatting sqref="B173">
    <cfRule type="expression" dxfId="25" priority="64">
      <formula>(WEEKDAY( INDIRECT(ADDRESS(ROW(),COLUMN())) ) = 2)</formula>
    </cfRule>
  </conditionalFormatting>
  <conditionalFormatting sqref="B217">
    <cfRule type="expression" dxfId="24" priority="63">
      <formula>(WEEKDAY( INDIRECT(ADDRESS(ROW(),COLUMN())) ) =6)</formula>
    </cfRule>
  </conditionalFormatting>
  <conditionalFormatting sqref="B217">
    <cfRule type="expression" dxfId="23" priority="62">
      <formula>(WEEKDAY( INDIRECT(ADDRESS(ROW(),COLUMN())) ) =5)</formula>
    </cfRule>
  </conditionalFormatting>
  <conditionalFormatting sqref="B217">
    <cfRule type="expression" dxfId="22" priority="61">
      <formula>(WEEKDAY( INDIRECT(ADDRESS(ROW(),COLUMN())) ) =4)</formula>
    </cfRule>
  </conditionalFormatting>
  <conditionalFormatting sqref="B217">
    <cfRule type="expression" dxfId="21" priority="60">
      <formula>(WEEKDAY( INDIRECT(ADDRESS(ROW(),COLUMN())) ) =3)</formula>
    </cfRule>
  </conditionalFormatting>
  <conditionalFormatting sqref="B217">
    <cfRule type="expression" dxfId="20" priority="59">
      <formula>(WEEKDAY( INDIRECT(ADDRESS(ROW(),COLUMN())) ) = 2)</formula>
    </cfRule>
  </conditionalFormatting>
  <conditionalFormatting sqref="B221">
    <cfRule type="expression" dxfId="19" priority="53">
      <formula>(WEEKDAY( INDIRECT(ADDRESS(ROW(),COLUMN())) ) =6)</formula>
    </cfRule>
  </conditionalFormatting>
  <conditionalFormatting sqref="B221">
    <cfRule type="expression" dxfId="18" priority="52">
      <formula>(WEEKDAY( INDIRECT(ADDRESS(ROW(),COLUMN())) ) =5)</formula>
    </cfRule>
  </conditionalFormatting>
  <conditionalFormatting sqref="B221">
    <cfRule type="expression" dxfId="17" priority="51">
      <formula>(WEEKDAY( INDIRECT(ADDRESS(ROW(),COLUMN())) ) =4)</formula>
    </cfRule>
  </conditionalFormatting>
  <conditionalFormatting sqref="B221">
    <cfRule type="expression" dxfId="16" priority="50">
      <formula>(WEEKDAY( INDIRECT(ADDRESS(ROW(),COLUMN())) ) =3)</formula>
    </cfRule>
  </conditionalFormatting>
  <conditionalFormatting sqref="B221">
    <cfRule type="expression" dxfId="15" priority="49">
      <formula>(WEEKDAY( INDIRECT(ADDRESS(ROW(),COLUMN())) ) = 2)</formula>
    </cfRule>
  </conditionalFormatting>
  <conditionalFormatting sqref="B226">
    <cfRule type="expression" dxfId="14" priority="48">
      <formula>(WEEKDAY( INDIRECT(ADDRESS(ROW(),COLUMN())) ) =6)</formula>
    </cfRule>
  </conditionalFormatting>
  <conditionalFormatting sqref="B226">
    <cfRule type="expression" dxfId="13" priority="47">
      <formula>(WEEKDAY( INDIRECT(ADDRESS(ROW(),COLUMN())) ) =5)</formula>
    </cfRule>
  </conditionalFormatting>
  <conditionalFormatting sqref="B226">
    <cfRule type="expression" dxfId="12" priority="46">
      <formula>(WEEKDAY( INDIRECT(ADDRESS(ROW(),COLUMN())) ) =4)</formula>
    </cfRule>
  </conditionalFormatting>
  <conditionalFormatting sqref="B226">
    <cfRule type="expression" dxfId="11" priority="45">
      <formula>(WEEKDAY( INDIRECT(ADDRESS(ROW(),COLUMN())) ) =3)</formula>
    </cfRule>
  </conditionalFormatting>
  <conditionalFormatting sqref="B226">
    <cfRule type="expression" dxfId="10" priority="44">
      <formula>(WEEKDAY( INDIRECT(ADDRESS(ROW(),COLUMN())) ) = 2)</formula>
    </cfRule>
  </conditionalFormatting>
  <conditionalFormatting sqref="B229">
    <cfRule type="expression" dxfId="9" priority="43">
      <formula>(WEEKDAY( INDIRECT(ADDRESS(ROW(),COLUMN())) ) =6)</formula>
    </cfRule>
  </conditionalFormatting>
  <conditionalFormatting sqref="B229">
    <cfRule type="expression" dxfId="8" priority="42">
      <formula>(WEEKDAY( INDIRECT(ADDRESS(ROW(),COLUMN())) ) =5)</formula>
    </cfRule>
  </conditionalFormatting>
  <conditionalFormatting sqref="B229">
    <cfRule type="expression" dxfId="7" priority="41">
      <formula>(WEEKDAY( INDIRECT(ADDRESS(ROW(),COLUMN())) ) =4)</formula>
    </cfRule>
  </conditionalFormatting>
  <conditionalFormatting sqref="B229">
    <cfRule type="expression" dxfId="6" priority="40">
      <formula>(WEEKDAY( INDIRECT(ADDRESS(ROW(),COLUMN())) ) =3)</formula>
    </cfRule>
  </conditionalFormatting>
  <conditionalFormatting sqref="B229">
    <cfRule type="expression" dxfId="5" priority="39">
      <formula>(WEEKDAY( INDIRECT(ADDRESS(ROW(),COLUMN())) ) = 2)</formula>
    </cfRule>
  </conditionalFormatting>
  <conditionalFormatting sqref="B271">
    <cfRule type="expression" dxfId="4" priority="38">
      <formula>(WEEKDAY( INDIRECT(ADDRESS(ROW(),COLUMN())) ) =6)</formula>
    </cfRule>
  </conditionalFormatting>
  <conditionalFormatting sqref="B271">
    <cfRule type="expression" dxfId="3" priority="37">
      <formula>(WEEKDAY( INDIRECT(ADDRESS(ROW(),COLUMN())) ) =5)</formula>
    </cfRule>
  </conditionalFormatting>
  <conditionalFormatting sqref="B271">
    <cfRule type="expression" dxfId="2" priority="36">
      <formula>(WEEKDAY( INDIRECT(ADDRESS(ROW(),COLUMN())) ) =4)</formula>
    </cfRule>
  </conditionalFormatting>
  <conditionalFormatting sqref="B271">
    <cfRule type="expression" dxfId="1" priority="35">
      <formula>(WEEKDAY( INDIRECT(ADDRESS(ROW(),COLUMN())) ) =3)</formula>
    </cfRule>
  </conditionalFormatting>
  <conditionalFormatting sqref="B271">
    <cfRule type="expression" dxfId="0" priority="34">
      <formula>(WEEKDAY( INDIRECT(ADDRESS(ROW(),COLUMN())) ) = 2)</formula>
    </cfRule>
  </conditionalFormatting>
  <pageMargins left="0.39370078740157477" right="0.39370078740157477" top="0.39370078740157477" bottom="0.39370078740157477" header="0.31496062992125984" footer="0.31496062992125984"/>
  <pageSetup paperSize="9" scale="30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cp:revision>1</cp:revision>
  <cp:lastPrinted>2024-07-16T05:52:41Z</cp:lastPrinted>
  <dcterms:created xsi:type="dcterms:W3CDTF">2019-08-30T12:29:04Z</dcterms:created>
  <dcterms:modified xsi:type="dcterms:W3CDTF">2024-07-19T07:51:04Z</dcterms:modified>
</cp:coreProperties>
</file>