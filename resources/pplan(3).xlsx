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/>
  <mc:AlternateContent xmlns:mc="http://schemas.openxmlformats.org/markup-compatibility/2006">
    <mc:Choice Requires="x15">
      <x15ac:absPath xmlns:x15ac="http://schemas.microsoft.com/office/spreadsheetml/2010/11/ac" url="C:\Users\benja\Desktop\"/>
    </mc:Choice>
  </mc:AlternateContent>
  <xr:revisionPtr revIDLastSave="0" documentId="13_ncr:1_{6612AC90-098F-4501-8DC5-7FA62F60A961}" xr6:coauthVersionLast="47" xr6:coauthVersionMax="47" xr10:uidLastSave="{00000000-0000-0000-0000-000000000000}"/>
  <bookViews>
    <workbookView xWindow="-108" yWindow="-108" windowWidth="23256" windowHeight="13896" tabRatio="573" xr2:uid="{00000000-000D-0000-FFFF-FFFF00000000}"/>
  </bookViews>
  <sheets>
    <sheet name="PP" sheetId="14" r:id="rId1"/>
  </sheets>
  <definedNames>
    <definedName name="_FilterDatabase" localSheetId="0" hidden="1">PP!$A$9:$AH$290</definedName>
    <definedName name="_xlnm._FilterDatabase" localSheetId="0" hidden="1">PP!$A$9:$AH$314</definedName>
    <definedName name="hjk" localSheetId="0" hidden="1">PP!$B$9:$AH$290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4" l="1"/>
  <c r="B101" i="14"/>
  <c r="B24" i="14"/>
  <c r="B26" i="14"/>
  <c r="B17" i="14"/>
  <c r="B19" i="14"/>
  <c r="B14" i="14"/>
  <c r="B20" i="14"/>
  <c r="B18" i="14"/>
  <c r="B254" i="14"/>
  <c r="B274" i="14"/>
  <c r="B10" i="14"/>
  <c r="B188" i="14"/>
  <c r="B208" i="14"/>
  <c r="B250" i="14"/>
  <c r="B235" i="14"/>
  <c r="B252" i="14"/>
  <c r="B134" i="14"/>
  <c r="B142" i="14"/>
  <c r="B70" i="14"/>
  <c r="B2" i="14"/>
  <c r="B283" i="14"/>
  <c r="B222" i="14"/>
  <c r="B225" i="14"/>
  <c r="B224" i="14"/>
  <c r="B216" i="14"/>
  <c r="B130" i="14"/>
  <c r="B54" i="14"/>
  <c r="B212" i="14"/>
  <c r="B131" i="14"/>
  <c r="B100" i="14"/>
  <c r="B13" i="14"/>
  <c r="B81" i="14"/>
  <c r="B163" i="14"/>
  <c r="B126" i="14"/>
  <c r="B256" i="14"/>
  <c r="B289" i="14"/>
  <c r="B199" i="14"/>
  <c r="B45" i="14"/>
  <c r="B270" i="14"/>
  <c r="B51" i="14"/>
  <c r="B176" i="14"/>
  <c r="B29" i="14"/>
  <c r="B22" i="14"/>
  <c r="B294" i="14"/>
  <c r="B202" i="14"/>
  <c r="B170" i="14"/>
  <c r="B91" i="14"/>
  <c r="B147" i="14"/>
  <c r="B169" i="14"/>
  <c r="B83" i="14"/>
  <c r="B198" i="14"/>
  <c r="B23" i="14"/>
  <c r="B203" i="14"/>
  <c r="B25" i="14"/>
  <c r="B63" i="14"/>
  <c r="B174" i="14"/>
  <c r="B287" i="14"/>
  <c r="B247" i="14"/>
  <c r="B167" i="14"/>
  <c r="B265" i="14"/>
  <c r="B284" i="14"/>
  <c r="B32" i="14"/>
  <c r="B31" i="14"/>
  <c r="B243" i="14"/>
  <c r="B92" i="14"/>
  <c r="B103" i="14"/>
  <c r="B168" i="14"/>
  <c r="B135" i="14"/>
  <c r="B114" i="14"/>
  <c r="B165" i="14"/>
  <c r="B211" i="14"/>
  <c r="B105" i="14"/>
  <c r="B205" i="14"/>
  <c r="B86" i="14"/>
  <c r="B112" i="14"/>
  <c r="B190" i="14"/>
  <c r="B140" i="14"/>
  <c r="B111" i="14"/>
  <c r="B60" i="14"/>
  <c r="B11" i="14"/>
  <c r="B30" i="14"/>
  <c r="B65" i="14"/>
  <c r="B72" i="14"/>
  <c r="B166" i="14"/>
  <c r="B177" i="14"/>
  <c r="B73" i="14"/>
  <c r="B129" i="14"/>
  <c r="B180" i="14"/>
  <c r="B44" i="14"/>
  <c r="B244" i="14"/>
  <c r="B245" i="14"/>
  <c r="B143" i="14"/>
  <c r="B292" i="14"/>
  <c r="B236" i="14"/>
  <c r="B291" i="14"/>
  <c r="B138" i="14"/>
  <c r="B66" i="14"/>
  <c r="B108" i="14"/>
  <c r="B230" i="14"/>
  <c r="B109" i="14"/>
  <c r="B125" i="14"/>
  <c r="B201" i="14"/>
  <c r="B192" i="14"/>
  <c r="B191" i="14"/>
  <c r="B263" i="14"/>
  <c r="B298" i="14"/>
  <c r="B301" i="14"/>
  <c r="B251" i="14"/>
  <c r="B242" i="14"/>
  <c r="B181" i="14"/>
  <c r="B75" i="14"/>
  <c r="B104" i="14"/>
  <c r="B231" i="14"/>
  <c r="B255" i="14"/>
  <c r="B183" i="14"/>
  <c r="B94" i="14"/>
  <c r="B209" i="14"/>
  <c r="B173" i="14"/>
  <c r="B197" i="14"/>
  <c r="B257" i="14"/>
  <c r="B288" i="14"/>
  <c r="B299" i="14"/>
  <c r="B304" i="14"/>
  <c r="B290" i="14"/>
  <c r="B293" i="14"/>
  <c r="B305" i="14"/>
  <c r="B296" i="14"/>
  <c r="B266" i="14"/>
  <c r="B286" i="14"/>
  <c r="B300" i="14"/>
  <c r="B313" i="14"/>
  <c r="B311" i="14"/>
  <c r="B259" i="14"/>
  <c r="B295" i="14"/>
  <c r="B307" i="14"/>
  <c r="B277" i="14"/>
  <c r="B302" i="14"/>
  <c r="B280" i="14"/>
  <c r="B282" i="14"/>
  <c r="B303" i="14"/>
  <c r="B268" i="14"/>
  <c r="B262" i="14"/>
  <c r="B310" i="14"/>
  <c r="B269" i="14"/>
  <c r="B267" i="14"/>
  <c r="B261" i="14"/>
  <c r="B309" i="14"/>
  <c r="B306" i="14"/>
  <c r="B297" i="14"/>
  <c r="B186" i="14"/>
  <c r="B144" i="14"/>
  <c r="B99" i="14"/>
  <c r="B88" i="14"/>
  <c r="B87" i="14"/>
  <c r="B189" i="14"/>
  <c r="B80" i="14"/>
  <c r="B77" i="14"/>
  <c r="B193" i="14"/>
  <c r="B248" i="14"/>
  <c r="B232" i="14"/>
  <c r="B206" i="14"/>
  <c r="B61" i="14"/>
  <c r="B145" i="14"/>
  <c r="B48" i="14"/>
  <c r="B279" i="14"/>
  <c r="B194" i="14"/>
  <c r="B178" i="14"/>
  <c r="B95" i="14"/>
  <c r="B89" i="14"/>
  <c r="B121" i="14"/>
  <c r="B237" i="14"/>
  <c r="B240" i="14"/>
  <c r="B239" i="14"/>
  <c r="B241" i="14"/>
  <c r="B78" i="14"/>
  <c r="B196" i="14"/>
  <c r="B49" i="14"/>
  <c r="B253" i="14"/>
  <c r="B41" i="14"/>
  <c r="B215" i="14"/>
  <c r="B148" i="14"/>
  <c r="B260" i="14"/>
  <c r="B184" i="14"/>
  <c r="B55" i="14"/>
  <c r="B217" i="14"/>
  <c r="B136" i="14"/>
  <c r="B273" i="14"/>
  <c r="B115" i="14"/>
  <c r="B39" i="14"/>
  <c r="B214" i="14"/>
  <c r="B312" i="14"/>
  <c r="B96" i="14"/>
  <c r="B182" i="14"/>
  <c r="B122" i="14"/>
  <c r="B285" i="14"/>
  <c r="B213" i="14"/>
  <c r="B120" i="14"/>
  <c r="B38" i="14"/>
  <c r="B68" i="14"/>
  <c r="B275" i="14"/>
  <c r="B172" i="14"/>
  <c r="B276" i="14"/>
  <c r="B187" i="14"/>
  <c r="B210" i="14"/>
  <c r="B233" i="14"/>
  <c r="B107" i="14"/>
  <c r="B117" i="14"/>
  <c r="B21" i="14"/>
  <c r="B43" i="14"/>
  <c r="B50" i="14"/>
  <c r="B207" i="14"/>
  <c r="B234" i="14"/>
  <c r="B102" i="14"/>
  <c r="B82" i="14"/>
  <c r="B62" i="14"/>
  <c r="B171" i="14"/>
  <c r="B37" i="14"/>
  <c r="B195" i="14"/>
  <c r="B204" i="14"/>
  <c r="B249" i="14"/>
  <c r="B281" i="14"/>
  <c r="B258" i="14"/>
  <c r="B271" i="14"/>
  <c r="B27" i="14"/>
  <c r="B185" i="14"/>
  <c r="B119" i="14"/>
  <c r="B34" i="14"/>
  <c r="B246" i="14"/>
  <c r="B56" i="14"/>
  <c r="B278" i="14"/>
  <c r="B57" i="14"/>
  <c r="B69" i="14"/>
  <c r="B146" i="14"/>
  <c r="B141" i="14"/>
  <c r="B137" i="14"/>
  <c r="B132" i="14"/>
  <c r="B127" i="14"/>
  <c r="B124" i="14"/>
  <c r="B118" i="14"/>
  <c r="B116" i="14"/>
  <c r="B113" i="14"/>
  <c r="B106" i="14"/>
  <c r="B97" i="14"/>
  <c r="B93" i="14"/>
  <c r="B90" i="14"/>
  <c r="B84" i="14"/>
  <c r="B79" i="14"/>
  <c r="B74" i="14"/>
  <c r="B71" i="14"/>
  <c r="B67" i="14"/>
  <c r="B64" i="14"/>
  <c r="B58" i="14"/>
  <c r="B52" i="14"/>
  <c r="B46" i="14"/>
  <c r="B40" i="14"/>
  <c r="B35" i="14"/>
  <c r="B28" i="14"/>
  <c r="B133" i="14"/>
  <c r="B221" i="14"/>
  <c r="B179" i="14"/>
  <c r="B139" i="14"/>
  <c r="B238" i="14"/>
  <c r="B228" i="14"/>
  <c r="B227" i="14"/>
  <c r="B98" i="14"/>
  <c r="B85" i="14"/>
  <c r="B110" i="14"/>
  <c r="B128" i="14"/>
  <c r="B123" i="14"/>
  <c r="B200" i="14"/>
  <c r="B59" i="14"/>
  <c r="B76" i="14"/>
  <c r="B264" i="14"/>
  <c r="B53" i="14"/>
  <c r="B15" i="14"/>
  <c r="B36" i="14"/>
  <c r="B42" i="14"/>
  <c r="B33" i="14"/>
  <c r="B16" i="14"/>
  <c r="B47" i="14"/>
</calcChain>
</file>

<file path=xl/sharedStrings.xml><?xml version="1.0" encoding="utf-8"?>
<sst xmlns="http://schemas.openxmlformats.org/spreadsheetml/2006/main" count="2727" uniqueCount="706">
  <si>
    <t>SoSe 2025</t>
  </si>
  <si>
    <t>Veranstaltung im WS</t>
  </si>
  <si>
    <t xml:space="preserve">Studiengang: </t>
  </si>
  <si>
    <t>B INF</t>
  </si>
  <si>
    <t>B MI</t>
  </si>
  <si>
    <t>B WI</t>
  </si>
  <si>
    <t>B INF D</t>
  </si>
  <si>
    <t>B SST</t>
  </si>
  <si>
    <t>M INF</t>
  </si>
  <si>
    <t>M MI</t>
  </si>
  <si>
    <t>M WI</t>
  </si>
  <si>
    <t>M DD</t>
  </si>
  <si>
    <t xml:space="preserve"> </t>
  </si>
  <si>
    <t>letzte Änderungen
rot hinterlegt</t>
  </si>
  <si>
    <t>Stand:</t>
  </si>
  <si>
    <t>Veranstaltung im SS</t>
  </si>
  <si>
    <t>Vertiefung:</t>
  </si>
  <si>
    <t>PI</t>
  </si>
  <si>
    <t>TI</t>
  </si>
  <si>
    <t>DS</t>
  </si>
  <si>
    <t>ST</t>
  </si>
  <si>
    <t>NSD</t>
  </si>
  <si>
    <t>SOT</t>
  </si>
  <si>
    <t>SYT</t>
  </si>
  <si>
    <t>Prüfungszeitraum FB4 Präsenz</t>
  </si>
  <si>
    <t>21.07.25 - 22.08.25</t>
  </si>
  <si>
    <t>Veranstaltung im WS und SS</t>
  </si>
  <si>
    <t xml:space="preserve">PO: </t>
  </si>
  <si>
    <t>19</t>
  </si>
  <si>
    <t>21</t>
  </si>
  <si>
    <t>18</t>
  </si>
  <si>
    <t>22</t>
  </si>
  <si>
    <t>24</t>
  </si>
  <si>
    <t>keine Veranstaltung (mehr)</t>
  </si>
  <si>
    <t>Laufzeit bis:</t>
  </si>
  <si>
    <t>2/29</t>
  </si>
  <si>
    <t>Num.</t>
  </si>
  <si>
    <t>Name</t>
  </si>
  <si>
    <t>Bestellte/r Prüfer/in bei Zulassung</t>
  </si>
  <si>
    <t>079</t>
  </si>
  <si>
    <t>456 555</t>
  </si>
  <si>
    <t>118 721</t>
  </si>
  <si>
    <t>B13</t>
  </si>
  <si>
    <t>277
721</t>
  </si>
  <si>
    <t>LP</t>
  </si>
  <si>
    <t>Bestellte/r 2. Prüfer/in oder Beisitzer/in (B)</t>
  </si>
  <si>
    <r>
      <t xml:space="preserve">Prüfer/in FB4
</t>
    </r>
    <r>
      <rPr>
        <b/>
        <sz val="10"/>
        <color rgb="FFFF0000"/>
        <rFont val="Meta Offc Pro"/>
        <family val="2"/>
      </rPr>
      <t xml:space="preserve">Prüfer/in FB9
</t>
    </r>
    <r>
      <rPr>
        <b/>
        <sz val="10"/>
        <color rgb="FF00B050"/>
        <rFont val="Meta Offc Pro"/>
        <family val="2"/>
      </rPr>
      <t xml:space="preserve">Prüfer/in UDE
</t>
    </r>
    <r>
      <rPr>
        <sz val="10"/>
        <rFont val="Meta Offc Pro"/>
        <family val="2"/>
      </rPr>
      <t>Normale Schriftstärke: Mitarbeiter, Lehrbeauftragte</t>
    </r>
  </si>
  <si>
    <r>
      <t xml:space="preserve">Werte: Semester bzw. Wahlkataloge
</t>
    </r>
    <r>
      <rPr>
        <b/>
        <sz val="12"/>
        <color rgb="FFFF0000"/>
        <rFont val="Meta Offc Pro"/>
        <family val="2"/>
      </rPr>
      <t>Rot: letzter Prüfungsanspruch</t>
    </r>
  </si>
  <si>
    <t>Regelmäßige Teilnahme in %</t>
  </si>
  <si>
    <t xml:space="preserve">Semesterbegleitende   </t>
  </si>
  <si>
    <t xml:space="preserve">Semesterabschließende </t>
  </si>
  <si>
    <t>Bemerkungen / Änderungsprotokoll</t>
  </si>
  <si>
    <t xml:space="preserve">Termin </t>
  </si>
  <si>
    <t>Raum
(Raumeint. durch Prüfer/in)</t>
  </si>
  <si>
    <t>Studienleistungen</t>
  </si>
  <si>
    <t xml:space="preserve"> Prüfungsleistung </t>
  </si>
  <si>
    <t>Anmeldezeitraum</t>
  </si>
  <si>
    <t>WT</t>
  </si>
  <si>
    <t>Datum</t>
  </si>
  <si>
    <t xml:space="preserve">Zeit </t>
  </si>
  <si>
    <t>Form</t>
  </si>
  <si>
    <t>in %</t>
  </si>
  <si>
    <t>Form / Zeit</t>
  </si>
  <si>
    <t>Hilfsmittel</t>
  </si>
  <si>
    <t>04.04.25 - 02.05.25</t>
  </si>
  <si>
    <t>10:00-13:00 Uhr</t>
  </si>
  <si>
    <t>C.1.30
C.1.31</t>
  </si>
  <si>
    <t>Projektwoche - Einführung in die Programmierung [Blockwoche 2]</t>
  </si>
  <si>
    <t>Jakob</t>
  </si>
  <si>
    <t xml:space="preserve">Anwesenheitspflicht beim Praktikum als Voraussetzung </t>
  </si>
  <si>
    <t>Kl 180 (Entwicklung am Computer)</t>
  </si>
  <si>
    <t>-</t>
  </si>
  <si>
    <t>Rettinger</t>
  </si>
  <si>
    <t>02.05.25-20.05.25</t>
  </si>
  <si>
    <t>14:15-15:15 Uhr</t>
  </si>
  <si>
    <t>n.V</t>
  </si>
  <si>
    <t xml:space="preserve">Angewandte Unternehmensführung (Teilnahme Planspiel nur bei Klausurteilnahme oder freien Kapazitäten) </t>
  </si>
  <si>
    <t>Hofnagel</t>
  </si>
  <si>
    <t>4/
W</t>
  </si>
  <si>
    <t>RT 90 %</t>
  </si>
  <si>
    <t>Planspiel</t>
  </si>
  <si>
    <t>Kl 60</t>
  </si>
  <si>
    <t>Quarg</t>
  </si>
  <si>
    <t>02.05.25 - 06.06.25</t>
  </si>
  <si>
    <t>08:30 -09:30 Uhr</t>
  </si>
  <si>
    <t>EFS44 050
EFS44 134
EFS44 150</t>
  </si>
  <si>
    <t>Human Resource Management und Organisation</t>
  </si>
  <si>
    <t>Faix</t>
  </si>
  <si>
    <t>nicht programmierbarer Taschenrechner</t>
  </si>
  <si>
    <t>Vormann</t>
  </si>
  <si>
    <t>13:30-14:30 Uhr</t>
  </si>
  <si>
    <t>EFS44 182
EFS44 186</t>
  </si>
  <si>
    <t>Einfluss der Digitalisierung auf Unternehmensorganisation und Change Management</t>
  </si>
  <si>
    <t>Schneider</t>
  </si>
  <si>
    <t>Bonuspunkte</t>
  </si>
  <si>
    <t>Niehüser</t>
  </si>
  <si>
    <t xml:space="preserve">n.V. </t>
  </si>
  <si>
    <t>DV in der Logistik</t>
  </si>
  <si>
    <t>Cirullies</t>
  </si>
  <si>
    <t>W</t>
  </si>
  <si>
    <t>Hausarbeit, Referat, Aufgaben</t>
  </si>
  <si>
    <t>Kl 45</t>
  </si>
  <si>
    <t>nicht programmierbarer Taschenrechner und nicht netzwerkfähiger Taschenrechner</t>
  </si>
  <si>
    <t>Graf</t>
  </si>
  <si>
    <t>10:30-11:30 Uhr</t>
  </si>
  <si>
    <t>EFS44 050
EFS44 134</t>
  </si>
  <si>
    <t>Kosten-, Erlös- und Ergebnisrechnung</t>
  </si>
  <si>
    <t>Boehle</t>
  </si>
  <si>
    <t>netzunabhängiger und nicht kommunikationsfähiger Taschenrechner</t>
  </si>
  <si>
    <t>Schwarz</t>
  </si>
  <si>
    <t>13:00-14:30 Uhr</t>
  </si>
  <si>
    <t>EFS44 136</t>
  </si>
  <si>
    <t xml:space="preserve">Kostenmanagement </t>
  </si>
  <si>
    <t>Be</t>
  </si>
  <si>
    <t>Hausarbeit, Präsentation</t>
  </si>
  <si>
    <t>Kl 90</t>
  </si>
  <si>
    <t>netzunabhängiger und nicht kommunikationsfähger Taschenrechner</t>
  </si>
  <si>
    <t>Beck</t>
  </si>
  <si>
    <t>EFS44 236</t>
  </si>
  <si>
    <t>Beschaffungsmanagement</t>
  </si>
  <si>
    <t>Meinke</t>
  </si>
  <si>
    <t>nicht netzwerkfähiger Taschenrechner</t>
  </si>
  <si>
    <t>Thorn</t>
  </si>
  <si>
    <t>15:15-16:15 Uhr</t>
  </si>
  <si>
    <t>Produktionsmanagement</t>
  </si>
  <si>
    <t>15:00-16:30 Uhr</t>
  </si>
  <si>
    <t>EFS38b 003
EFS38b 013</t>
  </si>
  <si>
    <t>Controlling</t>
  </si>
  <si>
    <t>Wenger</t>
  </si>
  <si>
    <t>netzunabhängiger, nicht programmierbarer Taschenrechner ohne Textausgabe</t>
  </si>
  <si>
    <t>Schön</t>
  </si>
  <si>
    <t>12:00-13:00 Uhr</t>
  </si>
  <si>
    <t>EFS44 012</t>
  </si>
  <si>
    <t>SCM-Anwendungen</t>
  </si>
  <si>
    <t>Hausarbeit, Referat</t>
  </si>
  <si>
    <t>nicht programmierbarer und nicht netzwerkfähiger Taschenrechner</t>
  </si>
  <si>
    <t>08:30-09:30 Uhr</t>
  </si>
  <si>
    <t>EFS44 050
EFS44 150
EFS44 182
EFS44 186
EFS44 189</t>
  </si>
  <si>
    <t>Investition und Finanzierung</t>
  </si>
  <si>
    <t>Linnenbrink </t>
  </si>
  <si>
    <t>Rosenthal</t>
  </si>
  <si>
    <t>C.1.30
C.1.31
B.2.20
B.2.21</t>
  </si>
  <si>
    <t>Projektwoche - Einführung in die Programmierung [Blockwoche 3]</t>
  </si>
  <si>
    <t>10:30-12:00 Uhr</t>
  </si>
  <si>
    <t>A.E.03</t>
  </si>
  <si>
    <t>Mathematik für Informatik 1</t>
  </si>
  <si>
    <t>Bräunling</t>
  </si>
  <si>
    <t>1 handschriftliches A4 Blatt im Original beidseitig</t>
  </si>
  <si>
    <t>Friedrich</t>
  </si>
  <si>
    <t>Mathematische Grundlagen der Verschlüsselungstechnik</t>
  </si>
  <si>
    <t>Fo</t>
  </si>
  <si>
    <t>Bab</t>
  </si>
  <si>
    <t>14:00-15:00 Uhr</t>
  </si>
  <si>
    <t>EFS44 186
EFS44 189</t>
  </si>
  <si>
    <t>Allgemeine BWL / Unternehmensführung</t>
  </si>
  <si>
    <t>nicht programmierbarer und nicht netzfähiger Taschenrechner</t>
  </si>
  <si>
    <t>Mörchel</t>
  </si>
  <si>
    <t>14:00-15:30 Uhr</t>
  </si>
  <si>
    <t>A.1.03</t>
  </si>
  <si>
    <t>Telematik und Telemedizin</t>
  </si>
  <si>
    <t>Königsmann</t>
  </si>
  <si>
    <t>Schippritt</t>
  </si>
  <si>
    <t>15:00-16:00 Uhr</t>
  </si>
  <si>
    <t>u.V.</t>
  </si>
  <si>
    <t>Strategisches Arbeitsrecht</t>
  </si>
  <si>
    <t>Wolmerath</t>
  </si>
  <si>
    <t>Gesetzestexte (keine Lehrbücher)</t>
  </si>
  <si>
    <t>Bohne</t>
  </si>
  <si>
    <t>EFS44 50</t>
  </si>
  <si>
    <t>Grundlagen des Geschäftsprozessmanagements</t>
  </si>
  <si>
    <t>Gröner</t>
  </si>
  <si>
    <t>Bonuspunkteklausur, 20 Min.</t>
  </si>
  <si>
    <t>Lindbeck</t>
  </si>
  <si>
    <t>09:00-11:00 Uhr</t>
  </si>
  <si>
    <t>A.E.01</t>
  </si>
  <si>
    <t>Maschinelles Lernen</t>
  </si>
  <si>
    <t xml:space="preserve">Miniprojekt </t>
  </si>
  <si>
    <t>Kl 120</t>
  </si>
  <si>
    <t>1 handschriftliches A4 Blatt im Original &amp; nicht-programmierbarer Taschenrechner</t>
  </si>
  <si>
    <t>A.E.01
A.E.02
A.1.02</t>
  </si>
  <si>
    <t>Programmierkurs 2</t>
  </si>
  <si>
    <t>Wiesmann</t>
  </si>
  <si>
    <t>W ST</t>
  </si>
  <si>
    <t>Hirsch</t>
  </si>
  <si>
    <t>Elektronik</t>
  </si>
  <si>
    <t>Slooten</t>
  </si>
  <si>
    <t>Praktikumsprotokolle und Aufgabenpräsentation</t>
  </si>
  <si>
    <t>Formelsammlung einseitig handgeschriebenes A4 Blatt &amp; Nicht programmierbarer Taschenrechner</t>
  </si>
  <si>
    <t>Wolff</t>
  </si>
  <si>
    <t>09:00-10:00 Uhr</t>
  </si>
  <si>
    <t>A.1.02</t>
  </si>
  <si>
    <t>Medizinische Grundlagen der Medizininformatik</t>
  </si>
  <si>
    <t>Frömke</t>
  </si>
  <si>
    <t>EFS40a E24
EFS44 150
EFS44 182
EFS44 186
EFS44 189</t>
  </si>
  <si>
    <t>Angewandte Mikro- und Makroökonomie</t>
  </si>
  <si>
    <t>Bastgen</t>
  </si>
  <si>
    <t>nicht-programmierbarer Taschenrechner</t>
  </si>
  <si>
    <t>Steiner</t>
  </si>
  <si>
    <t>EFS38b 003</t>
  </si>
  <si>
    <t>Marktorientiertes Innovationsmanagement</t>
  </si>
  <si>
    <t>Scheidler</t>
  </si>
  <si>
    <t>Präsentation</t>
  </si>
  <si>
    <t>Kubik</t>
  </si>
  <si>
    <t>Softwaremanagement</t>
  </si>
  <si>
    <t>Klötgen</t>
  </si>
  <si>
    <t>Bonuspunkte
 Praktikum</t>
  </si>
  <si>
    <t>Softwaretechnik C (Softwaremanagement)</t>
  </si>
  <si>
    <t>EFS44 050
EFS44 134
EFS44 150
EFS44 182
EFS44 186
EFS44 189</t>
  </si>
  <si>
    <t>Buchführung und Jahresabschluss</t>
  </si>
  <si>
    <t xml:space="preserve">
Gül</t>
  </si>
  <si>
    <t>- netzunabhängiger, nicht programmierbarer Taschenrechner
ohne Textausgabe
- deutsche Gesetzestexte in gebundener Form ohne
Kommentare und nicht als Kopie
- Markierungen mit Textmarkern oder Unterstreichungen,
Querverweise mit gängigen Zeichen und Abkürzungen (z. B.
§, Abs., Buchst., Nr. und S.), Haftnotizen mit einzelnen
Querverweisen
- nicht erlaubt sind andere Anmerkungen oder Zeichen (wie
Pfeile, +, -, ?, !).</t>
  </si>
  <si>
    <t>Kranemann, Wenger</t>
  </si>
  <si>
    <t>09:00-10:30 Uhr</t>
  </si>
  <si>
    <t>Robotik</t>
  </si>
  <si>
    <t>Röhrig</t>
  </si>
  <si>
    <t>W
Te</t>
  </si>
  <si>
    <t>SBL Praktikum</t>
  </si>
  <si>
    <t>Engels</t>
  </si>
  <si>
    <t>Signal- und Bildverarbeitung für die Medizin</t>
  </si>
  <si>
    <t>Matlab-Projekte</t>
  </si>
  <si>
    <t>14:00-14:30 Uhr</t>
  </si>
  <si>
    <t>EFS44 234</t>
  </si>
  <si>
    <t>Finanzmanagement</t>
  </si>
  <si>
    <t>Löhr</t>
  </si>
  <si>
    <t>Hausarbeit &amp; Präsentation</t>
  </si>
  <si>
    <t>Kl 30</t>
  </si>
  <si>
    <t>nicht netzwerkfähiger sowie nicht programmierbarer Taschenrechner, Formelsammlung</t>
  </si>
  <si>
    <t>14:30-15:30 Uhr</t>
  </si>
  <si>
    <t>EFS44 050
EFS44 150 
EFS44 182
EFS44 186
EFS44 189</t>
  </si>
  <si>
    <t>Marketing</t>
  </si>
  <si>
    <t>08:30-10:00 Uhr</t>
  </si>
  <si>
    <t>Business Intelligence</t>
  </si>
  <si>
    <t>Lindenbeck</t>
  </si>
  <si>
    <t>Wi</t>
  </si>
  <si>
    <t>keine</t>
  </si>
  <si>
    <t>EFS44 189</t>
  </si>
  <si>
    <t>ERP 2</t>
  </si>
  <si>
    <t>Teschler-Nunkesser</t>
  </si>
  <si>
    <t>Aufgaben am PC, Mini-Programmieraufgabe, ggf. mit Präsentation</t>
  </si>
  <si>
    <t>Kunau</t>
  </si>
  <si>
    <t>11:00-13:00 Uhr</t>
  </si>
  <si>
    <t>A.E.01
A.E.02</t>
  </si>
  <si>
    <t>BWL</t>
  </si>
  <si>
    <t>Schönberg</t>
  </si>
  <si>
    <t>Taschenrechner</t>
  </si>
  <si>
    <t>Fortgeschrittenes Geschäftsprozessmanagement</t>
  </si>
  <si>
    <t>Hausarbeit</t>
  </si>
  <si>
    <t>14:00-16:00 Uhr</t>
  </si>
  <si>
    <t>EFS44 186
EFS44 182
EFS44 150</t>
  </si>
  <si>
    <t>Einführung in die Wirtschaftsinformatik 1</t>
  </si>
  <si>
    <r>
      <t xml:space="preserve">Teschler-Nunkesser
</t>
    </r>
    <r>
      <rPr>
        <b/>
        <sz val="10"/>
        <color rgb="FFFF0000"/>
        <rFont val="Meta Offc Pro"/>
        <family val="2"/>
      </rPr>
      <t>Lindenbeck</t>
    </r>
  </si>
  <si>
    <t>1 handschriftliches A4 Blatt im Original</t>
  </si>
  <si>
    <r>
      <t xml:space="preserve">Lindenbeck 
</t>
    </r>
    <r>
      <rPr>
        <b/>
        <sz val="10"/>
        <rFont val="Meta Offc Pro"/>
        <family val="2"/>
      </rPr>
      <t>Kunau
Teschler-Nunkesser</t>
    </r>
  </si>
  <si>
    <t>A.E.01
EF40a E24
A.E.02</t>
  </si>
  <si>
    <t>Einführung in die Programmierung</t>
  </si>
  <si>
    <t>Hoffmann</t>
  </si>
  <si>
    <t>Bonusaufgaben</t>
  </si>
  <si>
    <t>A.E.01
EFS40a E24
A.E.02</t>
  </si>
  <si>
    <t>Bounuspunkte</t>
  </si>
  <si>
    <t>Praktikumsaufgaben</t>
  </si>
  <si>
    <t>11:00-12:30 Uhr</t>
  </si>
  <si>
    <t>Entwurf und Modellierung komplexer Software-Architekturen</t>
  </si>
  <si>
    <t>Jörges</t>
  </si>
  <si>
    <t>Pr</t>
  </si>
  <si>
    <t>In</t>
  </si>
  <si>
    <t>projektbezogene Arbeit</t>
  </si>
  <si>
    <t>Wizenty (B)</t>
  </si>
  <si>
    <t>13:00-14:00 Uhr</t>
  </si>
  <si>
    <t>Softwaretechnik D (Qualitätssicherung und Wartung)</t>
  </si>
  <si>
    <t xml:space="preserve">Kl 60 </t>
  </si>
  <si>
    <t>10:00-11:30 Uhr</t>
  </si>
  <si>
    <t xml:space="preserve">Mathematik für Informatik 4  </t>
  </si>
  <si>
    <t>1 handschriftliches (beidseitig) A4 Blatt im Original und nicht-programmierbarer Taschenrechner</t>
  </si>
  <si>
    <t>Schmidt</t>
  </si>
  <si>
    <t>Mathematik für Informatik 4 (Data Science)</t>
  </si>
  <si>
    <t>Kuhnt</t>
  </si>
  <si>
    <t xml:space="preserve">1 handschriftliches A4 Blatt im Original </t>
  </si>
  <si>
    <t>Datenbanken 1</t>
  </si>
  <si>
    <t>Saatz</t>
  </si>
  <si>
    <t>A.E.01 
EFS40a E24
A.E.02
A.1.02
A.2.02</t>
  </si>
  <si>
    <t>Programmierkurs 1</t>
  </si>
  <si>
    <t>11:00-12:00 Uhr</t>
  </si>
  <si>
    <t>IT-Infrastruktur</t>
  </si>
  <si>
    <t>Durch die Bearbeitung von Aufgaben können Bonuspunkte erreicht werden</t>
  </si>
  <si>
    <t>ein handschriftliches (beidseitig) A4 Blatt im Original</t>
  </si>
  <si>
    <t>Requirements Engineering</t>
  </si>
  <si>
    <t>Kamsties</t>
  </si>
  <si>
    <t>Projekt</t>
  </si>
  <si>
    <t xml:space="preserve">Künemund </t>
  </si>
  <si>
    <t>Data Science</t>
  </si>
  <si>
    <t>Kaiser</t>
  </si>
  <si>
    <t xml:space="preserve">Bonuspunkte </t>
  </si>
  <si>
    <t xml:space="preserve">1 handschriftliches A4 Blatt im Original und einen nicht Programmierbaren Taschenrechner </t>
  </si>
  <si>
    <t>Bauer</t>
  </si>
  <si>
    <t>Programmierkurs 2 TI</t>
  </si>
  <si>
    <t xml:space="preserve"> - </t>
  </si>
  <si>
    <t>A.E.01 
A.E.02</t>
  </si>
  <si>
    <t>Rechnerstrukturen und Betriebssysteme 1</t>
  </si>
  <si>
    <t>Künemund</t>
  </si>
  <si>
    <t>IT-Netze</t>
  </si>
  <si>
    <t>Recker</t>
  </si>
  <si>
    <t xml:space="preserve">Analysis </t>
  </si>
  <si>
    <t>Hesseler</t>
  </si>
  <si>
    <t xml:space="preserve"> Kl 120</t>
  </si>
  <si>
    <t>Hessel-von Molo</t>
  </si>
  <si>
    <t xml:space="preserve">14:00-15:30 Uhr </t>
  </si>
  <si>
    <t>Informationssysteme im Gesundheitswesen</t>
  </si>
  <si>
    <t>Böckmann</t>
  </si>
  <si>
    <t xml:space="preserve">IT-Landschaft - Planung und Umsetzung </t>
  </si>
  <si>
    <t>W NSD</t>
  </si>
  <si>
    <t>Präsentation und Miniprojekt</t>
  </si>
  <si>
    <t>EFS40a E24</t>
  </si>
  <si>
    <t>Logistikmanagement</t>
  </si>
  <si>
    <t>Klingebiel</t>
  </si>
  <si>
    <t>Fortgeschrittenes Web-Engineering</t>
  </si>
  <si>
    <t>Hecktor (B)</t>
  </si>
  <si>
    <t>A.E.01
EFS40a E24
A.E.02
A.1.02
A.2.02</t>
  </si>
  <si>
    <t>Kommunikations- und Rechnernetze</t>
  </si>
  <si>
    <t>Spiekermann</t>
  </si>
  <si>
    <t>Praktikum + Übung (Bonuspunkte)</t>
  </si>
  <si>
    <t>1 handschriftliches A4 Blatt im Original (beidseitig beschrieben)</t>
  </si>
  <si>
    <t>Schuster</t>
  </si>
  <si>
    <t xml:space="preserve">09:00-10:30 Uhr </t>
  </si>
  <si>
    <t>Lineare Algebra</t>
  </si>
  <si>
    <t>ein (doppelseitig) in eigener Handschrift beschriebenes A4-Blatt mit Exerpten aus Vorlesung und Übungen und ggf. ein von der Hochschule gestellter Taschenrechner</t>
  </si>
  <si>
    <t xml:space="preserve">12:00-13:30 Uhr </t>
  </si>
  <si>
    <t>A.E.02</t>
  </si>
  <si>
    <t>Berechenbarkeit und Komplexitätstheorie</t>
  </si>
  <si>
    <t>Preis</t>
  </si>
  <si>
    <t xml:space="preserve">Rettinger </t>
  </si>
  <si>
    <t>Effiziente Algorithmen und Datenstrukturen</t>
  </si>
  <si>
    <t xml:space="preserve">W  </t>
  </si>
  <si>
    <t>Datenbanken 2</t>
  </si>
  <si>
    <t xml:space="preserve">12:30-14:00 Uhr </t>
  </si>
  <si>
    <t>Entwicklung verteilter Anwendungen</t>
  </si>
  <si>
    <t>Ecke-Schüth</t>
  </si>
  <si>
    <t>W
Pr</t>
  </si>
  <si>
    <t>Sachweh</t>
  </si>
  <si>
    <t>Mathematik für Informatik 2</t>
  </si>
  <si>
    <t>Physik</t>
  </si>
  <si>
    <t>Praktikum und Aufgabenpräsentation</t>
  </si>
  <si>
    <t>Taschenrechner, Formelsammlung, selbstbeschriebenes DIN A4-Blatt</t>
  </si>
  <si>
    <t xml:space="preserve">Brotze </t>
  </si>
  <si>
    <t>Computergraphik</t>
  </si>
  <si>
    <t>Stark</t>
  </si>
  <si>
    <t>W DS</t>
  </si>
  <si>
    <t>Programmierkurs</t>
  </si>
  <si>
    <t>Kl 120 (Programmierprüfung im Labor)</t>
  </si>
  <si>
    <t>Knabe</t>
  </si>
  <si>
    <t xml:space="preserve">09:00-11:00 Uhr </t>
  </si>
  <si>
    <t>Theoretische Informatik</t>
  </si>
  <si>
    <t>Miniklausuren</t>
  </si>
  <si>
    <t>EFS44 182</t>
  </si>
  <si>
    <t>Anwendungsentwicklung mit Low-Code-Entwicklungs-Plattformen</t>
  </si>
  <si>
    <t>Entwicklungsprojekt mit Präsentation der Ergebnisse</t>
  </si>
  <si>
    <t>System- und Softwarequalitätssicherung</t>
  </si>
  <si>
    <t>Dokumentation und Präsentation</t>
  </si>
  <si>
    <t>Me</t>
  </si>
  <si>
    <t>Embedded Systems</t>
  </si>
  <si>
    <t>Programmieraufgabe</t>
  </si>
  <si>
    <t xml:space="preserve">Grundlagen der Medizinischen Informatik </t>
  </si>
  <si>
    <t xml:space="preserve">Schiprowski </t>
  </si>
  <si>
    <t>A.E.01
EFS40a E24</t>
  </si>
  <si>
    <t>ERP 1 (WI) / Standardsoftware (ERP Systeme) (INF,MI,SWT,SST)</t>
  </si>
  <si>
    <t>Fallstudie, Übungsaufgaben &amp; Miniprojekt</t>
  </si>
  <si>
    <t>11:30-13:00 Uhr</t>
  </si>
  <si>
    <t>Diagnose- und Therapiesysteme für die Medizin</t>
  </si>
  <si>
    <t>Kukuk</t>
  </si>
  <si>
    <t>Fortgeschrittene Methoden der Signal- und Bildverarbeitung für die Medizin</t>
  </si>
  <si>
    <t xml:space="preserve">Kl 90 </t>
  </si>
  <si>
    <t>EFS44 150
EFS44 182
EFS44 186
EFS44 189</t>
  </si>
  <si>
    <t>Einführung in die Wirtschaftsinformatik 2</t>
  </si>
  <si>
    <r>
      <t xml:space="preserve">Hoffmann
</t>
    </r>
    <r>
      <rPr>
        <b/>
        <sz val="10"/>
        <color rgb="FFFF0000"/>
        <rFont val="Meta Offc Pro"/>
        <family val="2"/>
      </rPr>
      <t>Schneider</t>
    </r>
  </si>
  <si>
    <t>5% [Klausurteil Schneider]</t>
  </si>
  <si>
    <t>1 handschriftliches (beidseitig) A4 Blatt im Original</t>
  </si>
  <si>
    <r>
      <t xml:space="preserve">Schneider
</t>
    </r>
    <r>
      <rPr>
        <b/>
        <sz val="10"/>
        <rFont val="Meta Offc Pro"/>
        <family val="2"/>
      </rPr>
      <t>Hoffmann</t>
    </r>
  </si>
  <si>
    <t xml:space="preserve">A.E.01
EFS40a E24
A.E.02
A.1.02
A.2.02 </t>
  </si>
  <si>
    <t xml:space="preserve">Mathematik für Informatik 2 (MI) </t>
  </si>
  <si>
    <t>ILIAS-Test (Bonuspunkte)</t>
  </si>
  <si>
    <t>Mathematik für Informatik 4 (MI)</t>
  </si>
  <si>
    <t>Virtualisierung und Cloud Computing</t>
  </si>
  <si>
    <t xml:space="preserve">EFS44 050
EFS44 134
EFS44 150
EFS44 182
EFS44 186
EFS44 189
</t>
  </si>
  <si>
    <t>Web-Technologien</t>
  </si>
  <si>
    <t>3/ W</t>
  </si>
  <si>
    <t>4/W</t>
  </si>
  <si>
    <t>1 beidseitig beschriftetes, handschriftliches A4-Blatt im Original</t>
  </si>
  <si>
    <t>Harrer</t>
  </si>
  <si>
    <t>Moderne Datenbanken</t>
  </si>
  <si>
    <t xml:space="preserve">W </t>
  </si>
  <si>
    <t>Projektbezogene Arbeit mit Abschlusskolloquium</t>
  </si>
  <si>
    <t>17:00-18:30 Uhr</t>
  </si>
  <si>
    <t xml:space="preserve">FH Dortmund:
A.E.01
EFS40a E24
TU Dortmund:
Audimax, 
HG II – HS1, 
HG II – HS3, 
HG II – HS6 </t>
  </si>
  <si>
    <t>Algorithmen und Datenstrukturen</t>
  </si>
  <si>
    <t>Visualisierungen und Interaktion für die Medizin</t>
  </si>
  <si>
    <t>Org./rechtliche Aspekte von IT-Beschaffungen</t>
  </si>
  <si>
    <t>Vollmer</t>
  </si>
  <si>
    <t>Ma</t>
  </si>
  <si>
    <t>IT</t>
  </si>
  <si>
    <t>Projektarbeit &amp; Präsentation</t>
  </si>
  <si>
    <t>1 handbeschriebene DIN A4-Seite im Original</t>
  </si>
  <si>
    <t>Organisatorisch/rechtliche Aspekte von IT-Beschaffungen</t>
  </si>
  <si>
    <t>A.E.01
A.E.02
A.1.02
A.2.02</t>
  </si>
  <si>
    <t>Künstliche Intelligenz</t>
  </si>
  <si>
    <t>Programmieraufgaben</t>
  </si>
  <si>
    <t>Hofberg</t>
  </si>
  <si>
    <t>A.E.01
EFS40a E24
A.E.02
A.1.02
A.2.02
A.E.03</t>
  </si>
  <si>
    <t>Rechnerstrukturen und Betriebssysteme 2</t>
  </si>
  <si>
    <t>Informations- und Business Performance Management</t>
  </si>
  <si>
    <t>Miniprojekt</t>
  </si>
  <si>
    <t>1 handschriftliches A4 Blatt im Original &amp; Taschenrechner</t>
  </si>
  <si>
    <t>Rechnerarchitektur und Betriebssysteme</t>
  </si>
  <si>
    <t>Bonuspunkte durch Miniklausuren</t>
  </si>
  <si>
    <t xml:space="preserve">Softwaretechnik 2 </t>
  </si>
  <si>
    <t>Software-projekt</t>
  </si>
  <si>
    <t>Softwaretechnik B (Softwarearchitektur)</t>
  </si>
  <si>
    <t>Digitale Bildverarbeitung</t>
  </si>
  <si>
    <t>Miniprojekt und Vortrag</t>
  </si>
  <si>
    <t>Fortgeschrittene BWL</t>
  </si>
  <si>
    <t xml:space="preserve">A.E.01
EFS40a E24
A.E.02
A.1.02
A.2.02
</t>
  </si>
  <si>
    <t xml:space="preserve">Mathematik für Informatik 3 </t>
  </si>
  <si>
    <t>Formelsammlung &amp; Taschenrechner gemäß Liste im ILIAS-Kurs</t>
  </si>
  <si>
    <t xml:space="preserve">Statistik </t>
  </si>
  <si>
    <t>11:30-13:30 Uhr</t>
  </si>
  <si>
    <t>Programmierkurs Anwendungsentwicklung</t>
  </si>
  <si>
    <t>Formale Methoden der Softwaretechnik</t>
  </si>
  <si>
    <t xml:space="preserve"> schriftliche Aufgabe</t>
  </si>
  <si>
    <t>Studienmanagement und Software</t>
  </si>
  <si>
    <t>Nonnemacher</t>
  </si>
  <si>
    <t>13:00-15:00 Uhr</t>
  </si>
  <si>
    <t>Automatisierungstechnik</t>
  </si>
  <si>
    <t>A.E.01
EFS40a E24
A.E.02
A.1.02
A.2.03</t>
  </si>
  <si>
    <t xml:space="preserve">Informationssicherheit </t>
  </si>
  <si>
    <t>Praktikum</t>
  </si>
  <si>
    <t>Hamburg</t>
  </si>
  <si>
    <t>Informationssicherheit für die Medizin</t>
  </si>
  <si>
    <t>WS+SS</t>
  </si>
  <si>
    <t>Prüfer/in</t>
  </si>
  <si>
    <t>F&amp;E Projekt</t>
  </si>
  <si>
    <t>Prof FB4</t>
  </si>
  <si>
    <t>PA</t>
  </si>
  <si>
    <t>Masterprojekt</t>
  </si>
  <si>
    <t>Prof FB4/9</t>
  </si>
  <si>
    <t>3</t>
  </si>
  <si>
    <t>Masterprojekt 1</t>
  </si>
  <si>
    <t>1-3</t>
  </si>
  <si>
    <t>Masterprojekt 1 + 2</t>
  </si>
  <si>
    <t>Masterprojekt 2</t>
  </si>
  <si>
    <t>Masterseminar</t>
  </si>
  <si>
    <t>Ref</t>
  </si>
  <si>
    <t>Projektarbeit</t>
  </si>
  <si>
    <t>8</t>
  </si>
  <si>
    <t>9</t>
  </si>
  <si>
    <t>7</t>
  </si>
  <si>
    <t>5</t>
  </si>
  <si>
    <t>6</t>
  </si>
  <si>
    <t>15</t>
  </si>
  <si>
    <t>Wissenschaftliches Kolloquium</t>
  </si>
  <si>
    <t>Prof MI</t>
  </si>
  <si>
    <t>Präsentation und Ausarbeitung</t>
  </si>
  <si>
    <t>01.02.25 - 15.04.25</t>
  </si>
  <si>
    <t>00107</t>
  </si>
  <si>
    <t>Praxisseminar / Praxissemester</t>
  </si>
  <si>
    <t>Mjildi (B)</t>
  </si>
  <si>
    <t>3D Computersehen und Erweiterte Realitäten für die Medizin</t>
  </si>
  <si>
    <t xml:space="preserve"> Software-framework und Miniprojekt</t>
  </si>
  <si>
    <t>MP</t>
  </si>
  <si>
    <t>Schiprowski (B)</t>
  </si>
  <si>
    <t>Adaptive Systeme</t>
  </si>
  <si>
    <t>Hofberg (B)</t>
  </si>
  <si>
    <t>Angewandtes Maschinelles Lernen</t>
  </si>
  <si>
    <t>Anwendungen der MI</t>
  </si>
  <si>
    <t>Ausgewählte Aspekte der Informatik: Digitale Forensik</t>
  </si>
  <si>
    <t xml:space="preserve">Hausarbeit </t>
  </si>
  <si>
    <t>Ausgewählte Aspekte der Informatik: Softwareentwicklung Robotischer Systeme mit dem Robot Operating System (ROS)</t>
  </si>
  <si>
    <t>Ausgewählte Aspekte der Informationssicherheit (alt: IT-Sicherheit)</t>
  </si>
  <si>
    <t>Projektarbeit + MP</t>
  </si>
  <si>
    <t>Ausgewählte Aspekte der Praktischen Informatik: Type-Driven Development</t>
  </si>
  <si>
    <t>Autonome mobile Systeme</t>
  </si>
  <si>
    <t xml:space="preserve">Miller </t>
  </si>
  <si>
    <t>Te</t>
  </si>
  <si>
    <t>Projektbezogene Arbeit mit Präsentation</t>
  </si>
  <si>
    <t>Componentware</t>
  </si>
  <si>
    <t>Zeppenfeld</t>
  </si>
  <si>
    <t xml:space="preserve">Seminararbeit + Vortrag </t>
  </si>
  <si>
    <t>Projektpräsentation</t>
  </si>
  <si>
    <t>Data Mining in Industrie und Wirtschaft</t>
  </si>
  <si>
    <t>Data Science Datenbanken</t>
  </si>
  <si>
    <t>Stahl</t>
  </si>
  <si>
    <t>Datenvisualisierung</t>
  </si>
  <si>
    <t>Rudak</t>
  </si>
  <si>
    <t>Präsentation/Ausarbeitung</t>
  </si>
  <si>
    <t>DV-Recht</t>
  </si>
  <si>
    <t>Seminararbeit, Präsentation</t>
  </si>
  <si>
    <t>Echtzeitsysteme</t>
  </si>
  <si>
    <t xml:space="preserve">Praktikumsprojekt </t>
  </si>
  <si>
    <t>Entwicklung softwareintensiver Systeme</t>
  </si>
  <si>
    <t>Entwicklung von Computerspielen</t>
  </si>
  <si>
    <t>projektbezogene Arbeit mit Dokumentation und Präsentation mit anschließender mündlicher Prüfung</t>
  </si>
  <si>
    <t>Köster</t>
  </si>
  <si>
    <t>Epidemiologie und Versorgungsforschung</t>
  </si>
  <si>
    <t>Lausen</t>
  </si>
  <si>
    <t>Miniprojekt und Präsentation</t>
  </si>
  <si>
    <t>Stang</t>
  </si>
  <si>
    <t xml:space="preserve">Fortgeschrittene Informationssicherheit </t>
  </si>
  <si>
    <t>Fortgeschrittenes Projektmanagement</t>
  </si>
  <si>
    <t>Projektaufgabe</t>
  </si>
  <si>
    <t>Gestaltung mit elektronischen Medien</t>
  </si>
  <si>
    <t>Neumann</t>
  </si>
  <si>
    <t>IHK Projekt/Firmenprojekt</t>
  </si>
  <si>
    <t>IHK-Projekt (im Betrieb)</t>
  </si>
  <si>
    <t>Industrieseminar</t>
  </si>
  <si>
    <t>RT 66,6%</t>
  </si>
  <si>
    <t>Schlesiger (B)</t>
  </si>
  <si>
    <t>Informatik und Gesellschaft</t>
  </si>
  <si>
    <t>Referat und aktive Teilnahme an Diskussion</t>
  </si>
  <si>
    <t>Integrations-Praktikum</t>
  </si>
  <si>
    <t>Mehlich-Berwald</t>
  </si>
  <si>
    <t>Internet der Dinge</t>
  </si>
  <si>
    <t>IT-Controlling</t>
  </si>
  <si>
    <t>Referat
Hausarbeit</t>
  </si>
  <si>
    <t>60,00%
40,00%</t>
  </si>
  <si>
    <t>IT-Management von Gesundheitseinrichtungen</t>
  </si>
  <si>
    <t>Schipritt</t>
  </si>
  <si>
    <t xml:space="preserve">IT-Recht </t>
  </si>
  <si>
    <t>Müller, Wolfgang</t>
  </si>
  <si>
    <t>IT-Servicemanagement</t>
  </si>
  <si>
    <t>Aufgaben, Präsentation einer Ausarbeitung</t>
  </si>
  <si>
    <t>Kooperative Systeme</t>
  </si>
  <si>
    <t>HA + Ref</t>
  </si>
  <si>
    <t>Lern- u. Arbeitstechniken (Vorziehen und Wiederholen im Rahmen freier Kapazitäten)</t>
  </si>
  <si>
    <t>RT 80 %</t>
  </si>
  <si>
    <t>HA</t>
  </si>
  <si>
    <t>Medizinisches Softwareprojekt</t>
  </si>
  <si>
    <t>Mensch-Computer-Interaktion</t>
  </si>
  <si>
    <t>Reimann
 Harrer</t>
  </si>
  <si>
    <t>5/W</t>
  </si>
  <si>
    <t xml:space="preserve"> Harrer, Reimann</t>
  </si>
  <si>
    <t>Mobile App Engineering</t>
  </si>
  <si>
    <t>Mobile Business and Mobile Systems</t>
  </si>
  <si>
    <t>Referat (3 Kurzreferate je 20%)</t>
  </si>
  <si>
    <t xml:space="preserve">Monitoring, Störungsanalyse und -behebung </t>
  </si>
  <si>
    <t>Hansemann</t>
  </si>
  <si>
    <t>Mehlich-Berwald (B)</t>
  </si>
  <si>
    <t>Personalführung</t>
  </si>
  <si>
    <t>Ergüzel</t>
  </si>
  <si>
    <t>Praxisphase IT-Architektur</t>
  </si>
  <si>
    <t>Eckey</t>
  </si>
  <si>
    <t>Praxisphase Programmierung</t>
  </si>
  <si>
    <t>Unternehmensvertreter*innen (B)</t>
  </si>
  <si>
    <t>Programmierkurs 2 Data Science</t>
  </si>
  <si>
    <t>Traeger</t>
  </si>
  <si>
    <t>Bonuspunkte Praktkium</t>
  </si>
  <si>
    <t>zwei handschriftliche (beidseitig) A4 Blätter </t>
  </si>
  <si>
    <t>Programmierkurs Systemintegration</t>
  </si>
  <si>
    <t>Projektmanagement</t>
  </si>
  <si>
    <t>Semsterbegleitende Prüfungsleistung</t>
  </si>
  <si>
    <t>Dechange</t>
  </si>
  <si>
    <t>Case Studies, Tests</t>
  </si>
  <si>
    <t>Albrecht</t>
  </si>
  <si>
    <t>Seminar (Inhalt): KI Werkzeuge in Studium und Softwareentwicklung</t>
  </si>
  <si>
    <t>Seminar (Inhalt): Kommunikation und Kundenorientierung</t>
  </si>
  <si>
    <t>Steffes</t>
  </si>
  <si>
    <t>Seminar (Inhalt): Programmierung numerischer Algorithmen</t>
  </si>
  <si>
    <t>RT 100 %</t>
  </si>
  <si>
    <t>Referat</t>
  </si>
  <si>
    <t>Seminar (Inhalt): Social Entrepreneurship - mit Geschäftssinn Gutes tun</t>
  </si>
  <si>
    <t xml:space="preserve">Dittrich </t>
  </si>
  <si>
    <t>Seminar (Inhalt): Software Ecosystems: Technologies meet Business</t>
  </si>
  <si>
    <t>Seminar (Inhalt): Sustainable business concepts for hospitals</t>
  </si>
  <si>
    <t>Seminar (Inhalt): Technische Anwendungen</t>
  </si>
  <si>
    <t>Zumkehr</t>
  </si>
  <si>
    <t>Seminar (Inhalt): Unternehmerische Aspekte in der IT</t>
  </si>
  <si>
    <t>Schopphoff</t>
  </si>
  <si>
    <t>Seminar (Methodik): Programmierung numerischer Algorithmen</t>
  </si>
  <si>
    <t>Seminar (Methodik): Social Entrepreneurship - mit Geschäftssinn Gutes tun</t>
  </si>
  <si>
    <t>Seminar (Methodik): Technische Anwendungen</t>
  </si>
  <si>
    <t>Seminar (Methodik): Wissenschaftliches Arbeiten</t>
  </si>
  <si>
    <t>Wöchentliche Hausaufgaben &amp; aktive Teilnahme</t>
  </si>
  <si>
    <t>Seminar Trends der Medizinischen Informatik</t>
  </si>
  <si>
    <t>Seminar Trends der Softwaretechnik</t>
  </si>
  <si>
    <t>Lauenroth</t>
  </si>
  <si>
    <t>Kirchner</t>
  </si>
  <si>
    <t>Seminar Trends der Systemtechnik</t>
  </si>
  <si>
    <t>Serielle Bussysteme</t>
  </si>
  <si>
    <t>Ausarbeitung mit Vortrag</t>
  </si>
  <si>
    <t>Sicherheits- und Servicemanagement</t>
  </si>
  <si>
    <t>Sicherheits- und Service-Management</t>
  </si>
  <si>
    <t>Softwarepraktikum</t>
  </si>
  <si>
    <t>Softwaretechnik 1</t>
  </si>
  <si>
    <t>Sachweh
Zeppenfeld</t>
  </si>
  <si>
    <t>Zeppenfeld
Sachweh</t>
  </si>
  <si>
    <t>Softwaretechnik 2</t>
  </si>
  <si>
    <t xml:space="preserve">Softwaretechnik A </t>
  </si>
  <si>
    <t xml:space="preserve">Systems Engineering </t>
  </si>
  <si>
    <t xml:space="preserve">HA 
Ref </t>
  </si>
  <si>
    <t>80,00%
20,00%</t>
  </si>
  <si>
    <t>Telemedizinische Methoden und Werkzeuge/Anwendungen</t>
  </si>
  <si>
    <t>Trends der Künstlichen Intelligenz in der Wirtschaftsinformatik</t>
  </si>
  <si>
    <t>Trends der künstlichen Intelligenz in der Wirtschaftsinformatik</t>
  </si>
  <si>
    <t>Unternehmenspraxisarbeit</t>
  </si>
  <si>
    <t>Usability Engineering</t>
  </si>
  <si>
    <t>Reimann</t>
  </si>
  <si>
    <t>Verteilte und mobile Systeme</t>
  </si>
  <si>
    <t>Software, Dokumentation und Präsentation</t>
  </si>
  <si>
    <t>Wissensbasierte Methoden und Systeme für die Medizin</t>
  </si>
  <si>
    <t>Technisches Englisch (Einstufungs-Test vor Veranstaltungsanfang ist Pflicht, 'Aktuelles' beachten!)</t>
  </si>
  <si>
    <t>Brotze
Feldman
Mugenyi
Riemer
Röthig</t>
  </si>
  <si>
    <t>Hardware/Software Kodesign</t>
  </si>
  <si>
    <t xml:space="preserve">Projektaufgabe </t>
  </si>
  <si>
    <t>MP, 30 min</t>
  </si>
  <si>
    <t>alle Hilfsmittel erlaubt</t>
  </si>
  <si>
    <t xml:space="preserve">Multimedia </t>
  </si>
  <si>
    <t>Analoges und Digitales wahrnehmen</t>
  </si>
  <si>
    <t>HA + Posterpräsentation</t>
  </si>
  <si>
    <t>Angewandte Logiken</t>
  </si>
  <si>
    <t>Angewandte Statistik</t>
  </si>
  <si>
    <t>Projektbezogene Arbeiten mit Dokumentation</t>
  </si>
  <si>
    <t>Projektbezogene Arbeit mit Posterpräsentation</t>
  </si>
  <si>
    <t>Ausgewählte Aspekte der Informationssicherheit</t>
  </si>
  <si>
    <t>Bau und Entwurf elementarer Lösungen</t>
  </si>
  <si>
    <t>Data Science Projekt</t>
  </si>
  <si>
    <t>Bauer
Kaiser</t>
  </si>
  <si>
    <t xml:space="preserve">Dokumentation und projektbezogene Arbeit </t>
  </si>
  <si>
    <t xml:space="preserve">Referat </t>
  </si>
  <si>
    <t>Kaiser
Bauer</t>
  </si>
  <si>
    <t>Digital-Design-Projekt – Elementare Lösung</t>
  </si>
  <si>
    <t>Kunau
Lauenroth</t>
  </si>
  <si>
    <t>Projektpräsentationen</t>
  </si>
  <si>
    <t>Lauenroth
Kunau</t>
  </si>
  <si>
    <t>Elementares Gestalten</t>
  </si>
  <si>
    <t>Grundlagen des Bauens und Entwerfens digitaler Lösungen</t>
  </si>
  <si>
    <t>ohne Textausgabe</t>
  </si>
  <si>
    <r>
      <t xml:space="preserve">Lauenroth (B)
</t>
    </r>
    <r>
      <rPr>
        <b/>
        <sz val="10"/>
        <color theme="1"/>
        <rFont val="Meta Offc Pro"/>
        <family val="2"/>
      </rPr>
      <t>Kunau</t>
    </r>
  </si>
  <si>
    <t>Human Centered Digitalization</t>
  </si>
  <si>
    <t>Written exam at the end of the course (50%) and individual programming task (50%):
implementation of Smart System (or parts of it), demonstration of the results (15 Min)</t>
  </si>
  <si>
    <t>IT-Landschaft - Betrieb und Steuerung</t>
  </si>
  <si>
    <t>Recker
Spiekermann</t>
  </si>
  <si>
    <t>Spiekermann
Recker</t>
  </si>
  <si>
    <t>Kommerzielle Anwendungssysteme der MI</t>
  </si>
  <si>
    <t>Materialität und Entwurf des Digitalen</t>
  </si>
  <si>
    <t>Albersmeier</t>
  </si>
  <si>
    <t>Mobile Anwendungen und Systeme</t>
  </si>
  <si>
    <t>Hausarbeit/Referat</t>
  </si>
  <si>
    <t>Projekt – Spielerisch</t>
  </si>
  <si>
    <t>Schlüsselkompetenzen Digital Entrepreneur &amp; Scientist</t>
  </si>
  <si>
    <t>Lerntagebuch</t>
  </si>
  <si>
    <t>Technologien elementarer Lösungen</t>
  </si>
  <si>
    <t>Angewandte Mathematik</t>
  </si>
  <si>
    <t>N.N.</t>
  </si>
  <si>
    <t>Anwendungsprogrammierung für die Medizin</t>
  </si>
  <si>
    <t>Bau und Entwurf digitaler Ökosysteme</t>
  </si>
  <si>
    <t xml:space="preserve">N.N. </t>
  </si>
  <si>
    <t>BWL-Anwendungen</t>
  </si>
  <si>
    <t>Projektaufgabe + MP</t>
  </si>
  <si>
    <t>C-Business</t>
  </si>
  <si>
    <t>Datenethik und Datenschutz</t>
  </si>
  <si>
    <t>Digitale Forensik</t>
  </si>
  <si>
    <t>ERP in der Produktion</t>
  </si>
  <si>
    <t>Körnich</t>
  </si>
  <si>
    <t>ERP und SCE: Standardprozesse und Erweiterungskonzepte</t>
  </si>
  <si>
    <t>Aufgaben</t>
  </si>
  <si>
    <t>Gregor</t>
  </si>
  <si>
    <t>Formale Sprachen 
und Compilerbau</t>
  </si>
  <si>
    <t>Kl 60min</t>
  </si>
  <si>
    <t>Hausarbeit mit Kolloquium</t>
  </si>
  <si>
    <t>Hardware Engineering</t>
  </si>
  <si>
    <t>Informationswirtschaft</t>
  </si>
  <si>
    <t>Bearbeitung von Übungsaufgaben und Referat</t>
  </si>
  <si>
    <t xml:space="preserve">Internet der Dinge </t>
  </si>
  <si>
    <t>Internet Management</t>
  </si>
  <si>
    <t>Kamenz</t>
  </si>
  <si>
    <t>Klimke</t>
  </si>
  <si>
    <t>IoT &amp; Edge Computing</t>
  </si>
  <si>
    <t>Kommunikation und Kundenorientierung</t>
  </si>
  <si>
    <t>RT 80%</t>
  </si>
  <si>
    <t>Kommunikations- und Rechnernetze 2</t>
  </si>
  <si>
    <t>Mathematik und Quantum Computing</t>
  </si>
  <si>
    <t>Modellbasierte Softwareentwicklung 
[WS 2022/23]</t>
  </si>
  <si>
    <t>Multimodale Interaktion in ambienten Umgebungen</t>
  </si>
  <si>
    <t>Multimodale Interaktion in Ambienten Umgebungen</t>
  </si>
  <si>
    <t>Programmier-aufgaben</t>
  </si>
  <si>
    <t>Numerische Algorithmen</t>
  </si>
  <si>
    <t>W Ds</t>
  </si>
  <si>
    <t>Operations Research</t>
  </si>
  <si>
    <t>Formelsammlung &amp; Taschenrechner</t>
  </si>
  <si>
    <t>Praxisphase IT-Betrieb</t>
  </si>
  <si>
    <t>Praxisphase Softwaretechnik</t>
  </si>
  <si>
    <t>Projekt – Digitales Ökosystem</t>
  </si>
  <si>
    <t>Prozessmanagement und Organisationsentwicklung im Gesundheitswesen</t>
  </si>
  <si>
    <t>Rechnerarchitekturen</t>
  </si>
  <si>
    <t>Smart Home &amp; Smart Building &amp; Smart City</t>
  </si>
  <si>
    <t>Softwareentwicklung technischer Systeme</t>
  </si>
  <si>
    <t>Softwareprojekt</t>
  </si>
  <si>
    <t>Systemisches Gestalten</t>
  </si>
  <si>
    <t>Systemprogrammierung</t>
  </si>
  <si>
    <t>Technologien digitaler Ökosysteme</t>
  </si>
  <si>
    <t>Unternehmenslogistik</t>
  </si>
  <si>
    <t>Visualisierung</t>
  </si>
  <si>
    <t>Vortrag</t>
  </si>
  <si>
    <t>Brotze (B)</t>
  </si>
  <si>
    <t>XML</t>
  </si>
  <si>
    <t>Projektarbeit mit Präsentation</t>
  </si>
  <si>
    <t>09.07.25 -  Datum/Uhrzeit geändert (verschoben vom 29.07.,12:00-13:30Uhr)</t>
  </si>
  <si>
    <t>10.07.25 - Datum geändert (vom 15.08.25)</t>
  </si>
  <si>
    <t>Raumänderung (von A.E.02 auf A.E.01)</t>
  </si>
  <si>
    <t>10:00-11:00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</si>
</sst>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ddd"/>
    <numFmt numFmtId="166" formatCode="d/m/yy"/>
    <numFmt numFmtId="167" formatCode="_-* #,##0.00\ _€_-;\-* #,##0.00\ _€_-;_-* &quot;-&quot;??\ _€_-;_-@_-"/>
  </numFmts>
  <fonts count="4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color indexed="8"/>
      <name val="Arial"/>
      <family val="2"/>
    </font>
    <font>
      <b/>
      <sz val="10"/>
      <color theme="1"/>
      <name val="Meta Offc Pro"/>
      <family val="2"/>
    </font>
    <font>
      <sz val="10"/>
      <color theme="1"/>
      <name val="Meta Offc Pro"/>
      <family val="2"/>
    </font>
    <font>
      <b/>
      <sz val="10"/>
      <color indexed="2"/>
      <name val="Meta Offc Pro"/>
      <family val="2"/>
    </font>
    <font>
      <b/>
      <sz val="10"/>
      <color rgb="FFFF0000"/>
      <name val="Meta Offc Pro"/>
      <family val="2"/>
    </font>
    <font>
      <b/>
      <sz val="10"/>
      <color rgb="FF00B050"/>
      <name val="Meta Offc Pro"/>
      <family val="2"/>
    </font>
    <font>
      <sz val="10"/>
      <name val="Meta Offc Pro"/>
      <family val="2"/>
    </font>
    <font>
      <b/>
      <sz val="11"/>
      <color theme="1"/>
      <name val="Meta Offc Pro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Meta Offc Pro"/>
      <family val="2"/>
    </font>
    <font>
      <strike/>
      <sz val="10"/>
      <name val="Meta Offc Pro"/>
      <family val="2"/>
    </font>
    <font>
      <strike/>
      <sz val="10"/>
      <color theme="1"/>
      <name val="Meta Offc Pro"/>
      <family val="2"/>
    </font>
    <font>
      <b/>
      <strike/>
      <sz val="10"/>
      <color theme="1"/>
      <name val="Meta Offc Pro"/>
      <family val="2"/>
    </font>
    <font>
      <sz val="10"/>
      <color rgb="FFFF33CC"/>
      <name val="Meta Offc Pro"/>
      <family val="2"/>
    </font>
    <font>
      <sz val="11"/>
      <color theme="1"/>
      <name val="Meta Offc Pro"/>
      <family val="2"/>
    </font>
    <font>
      <b/>
      <sz val="10"/>
      <name val="Meta Offc Pro"/>
      <family val="2"/>
    </font>
    <font>
      <sz val="12"/>
      <color theme="1"/>
      <name val="Meta Offc Pro"/>
      <family val="2"/>
    </font>
    <font>
      <b/>
      <strike/>
      <sz val="10"/>
      <name val="Meta Offc Pro"/>
      <family val="2"/>
    </font>
    <font>
      <strike/>
      <sz val="10"/>
      <color rgb="FFFF33CC"/>
      <name val="Meta Offc Pro"/>
      <family val="2"/>
    </font>
    <font>
      <sz val="10"/>
      <color theme="1"/>
      <name val="Calibri Light"/>
      <family val="2"/>
    </font>
    <font>
      <sz val="10"/>
      <color rgb="FF242424"/>
      <name val="Meta Offc Pro"/>
      <family val="2"/>
    </font>
    <font>
      <strike/>
      <sz val="10"/>
      <color theme="1"/>
      <name val="Calibri Light"/>
      <family val="2"/>
    </font>
    <font>
      <b/>
      <sz val="12"/>
      <color rgb="FFFF0000"/>
      <name val="Meta Offc Pro"/>
      <family val="2"/>
    </font>
    <font>
      <sz val="10"/>
      <color rgb="FFFF0000"/>
      <name val="Meta Offc Pro"/>
      <family val="2"/>
    </font>
    <font>
      <strike/>
      <sz val="10"/>
      <color rgb="FF000000"/>
      <name val="Meta Offc Pro"/>
      <family val="2"/>
    </font>
    <font>
      <b/>
      <sz val="24"/>
      <color theme="1"/>
      <name val="Meta Offc Pro"/>
      <family val="2"/>
    </font>
    <font>
      <sz val="10"/>
      <color theme="1"/>
      <name val="Meta Offc Pro"/>
      <family val="2"/>
    </font>
    <font>
      <sz val="10"/>
      <color indexed="2"/>
      <name val="Meta Offc Pro"/>
      <family val="2"/>
    </font>
    <font>
      <b/>
      <sz val="10"/>
      <color theme="0"/>
      <name val="Meta Offc Pro"/>
      <family val="2"/>
    </font>
    <font>
      <b/>
      <strike/>
      <sz val="10"/>
      <color rgb="FFFF0000"/>
      <name val="Meta Offc Pro"/>
      <family val="2"/>
    </font>
    <font>
      <b/>
      <sz val="10"/>
      <color rgb="FF000000"/>
      <name val="Meta Offc Pro"/>
      <family val="2"/>
    </font>
    <font>
      <b/>
      <strike/>
      <sz val="10"/>
      <color indexed="2"/>
      <name val="Meta Offc Pro"/>
      <family val="2"/>
    </font>
    <font>
      <strike/>
      <sz val="11"/>
      <color theme="1"/>
      <name val="Meta Offc Pro"/>
      <family val="2"/>
    </font>
    <font>
      <sz val="10"/>
      <color rgb="FF00B050"/>
      <name val="Meta Offc Pro"/>
      <family val="2"/>
    </font>
    <font>
      <strike/>
      <sz val="10"/>
      <color indexed="2"/>
      <name val="Meta Offc Pro"/>
      <family val="2"/>
    </font>
    <font>
      <b/>
      <sz val="10"/>
      <color indexed="8"/>
      <name val="Meta Offc Pro"/>
      <family val="2"/>
    </font>
    <font>
      <sz val="10"/>
      <color rgb="FF000000"/>
      <name val="Meta Offc Pro"/>
      <charset val="1"/>
    </font>
    <font>
      <u/>
      <sz val="11"/>
      <color theme="10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E69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DDD"/>
        <bgColor indexed="64"/>
      </patternFill>
    </fill>
    <fill>
      <patternFill patternType="solid">
        <fgColor rgb="FFFA8282"/>
        <bgColor indexed="64"/>
      </patternFill>
    </fill>
    <fill>
      <patternFill patternType="solid">
        <fgColor rgb="FFFA8282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8">
    <xf numFmtId="0" fontId="0" fillId="0" borderId="0"/>
    <xf numFmtId="0" fontId="3" fillId="0" borderId="0" applyNumberFormat="0" applyFill="0" applyBorder="0"/>
    <xf numFmtId="0" fontId="4" fillId="0" borderId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336">
    <xf numFmtId="0" fontId="0" fillId="0" borderId="0" xfId="0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6" fillId="0" borderId="0" xfId="0" applyFont="1" applyAlignment="1">
      <alignment wrapText="1" shrinkToFi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0" fillId="0" borderId="14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wrapText="1"/>
    </xf>
    <xf numFmtId="0" fontId="5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5" fillId="2" borderId="14" xfId="0" applyFont="1" applyFill="1" applyBorder="1" applyAlignment="1">
      <alignment horizontal="left" vertical="center" wrapText="1" shrinkToFit="1"/>
    </xf>
    <xf numFmtId="0" fontId="5" fillId="0" borderId="14" xfId="0" applyFont="1" applyBorder="1" applyAlignment="1">
      <alignment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23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left" vertical="center" wrapText="1" shrinkToFit="1"/>
    </xf>
    <xf numFmtId="49" fontId="6" fillId="3" borderId="14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22" borderId="14" xfId="0" applyNumberFormat="1" applyFont="1" applyFill="1" applyBorder="1" applyAlignment="1">
      <alignment horizontal="center" vertical="center" wrapText="1"/>
    </xf>
    <xf numFmtId="49" fontId="6" fillId="6" borderId="14" xfId="0" applyNumberFormat="1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center" vertical="center" wrapText="1"/>
    </xf>
    <xf numFmtId="49" fontId="6" fillId="8" borderId="14" xfId="0" applyNumberFormat="1" applyFont="1" applyFill="1" applyBorder="1" applyAlignment="1">
      <alignment horizontal="center" vertical="center" wrapText="1"/>
    </xf>
    <xf numFmtId="49" fontId="6" fillId="9" borderId="14" xfId="0" applyNumberFormat="1" applyFont="1" applyFill="1" applyBorder="1" applyAlignment="1">
      <alignment horizontal="center" vertical="center" wrapText="1"/>
    </xf>
    <xf numFmtId="49" fontId="6" fillId="23" borderId="14" xfId="0" applyNumberFormat="1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left" vertical="center" wrapText="1" shrinkToFit="1"/>
    </xf>
    <xf numFmtId="0" fontId="5" fillId="0" borderId="14" xfId="0" applyFont="1" applyBorder="1" applyAlignment="1">
      <alignment horizontal="left" vertical="center" wrapText="1" shrinkToFit="1"/>
    </xf>
    <xf numFmtId="0" fontId="6" fillId="21" borderId="14" xfId="0" applyFont="1" applyFill="1" applyBorder="1" applyAlignment="1">
      <alignment horizontal="center" vertical="center" wrapText="1"/>
    </xf>
    <xf numFmtId="0" fontId="6" fillId="21" borderId="14" xfId="0" applyFont="1" applyFill="1" applyBorder="1" applyAlignment="1">
      <alignment horizontal="left" vertical="center" wrapText="1"/>
    </xf>
    <xf numFmtId="0" fontId="6" fillId="21" borderId="14" xfId="0" applyFont="1" applyFill="1" applyBorder="1" applyAlignment="1">
      <alignment vertical="center" wrapText="1"/>
    </xf>
    <xf numFmtId="0" fontId="6" fillId="21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164" fontId="6" fillId="13" borderId="14" xfId="0" applyNumberFormat="1" applyFont="1" applyFill="1" applyBorder="1" applyAlignment="1">
      <alignment horizontal="center" vertical="center" wrapText="1"/>
    </xf>
    <xf numFmtId="0" fontId="10" fillId="21" borderId="14" xfId="0" applyFont="1" applyFill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wrapText="1" shrinkToFit="1"/>
    </xf>
    <xf numFmtId="0" fontId="32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 shrinkToFit="1"/>
    </xf>
    <xf numFmtId="0" fontId="14" fillId="0" borderId="14" xfId="0" applyFont="1" applyBorder="1" applyAlignment="1">
      <alignment wrapText="1"/>
    </xf>
    <xf numFmtId="0" fontId="22" fillId="0" borderId="14" xfId="0" applyFont="1" applyBorder="1" applyAlignment="1">
      <alignment horizontal="center" vertical="center" wrapText="1" shrinkToFit="1"/>
    </xf>
    <xf numFmtId="0" fontId="16" fillId="0" borderId="14" xfId="0" applyFont="1" applyBorder="1" applyAlignment="1">
      <alignment horizontal="center" vertical="center" wrapText="1"/>
    </xf>
    <xf numFmtId="0" fontId="33" fillId="13" borderId="14" xfId="0" applyFont="1" applyFill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13" borderId="14" xfId="0" applyFont="1" applyFill="1" applyBorder="1" applyAlignment="1">
      <alignment horizontal="center" vertical="center" wrapText="1" shrinkToFit="1"/>
    </xf>
    <xf numFmtId="0" fontId="37" fillId="0" borderId="14" xfId="0" applyFont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 shrinkToFit="1"/>
    </xf>
    <xf numFmtId="0" fontId="34" fillId="13" borderId="14" xfId="0" applyFont="1" applyFill="1" applyBorder="1" applyAlignment="1">
      <alignment horizontal="center" vertical="center" wrapText="1" shrinkToFit="1"/>
    </xf>
    <xf numFmtId="0" fontId="6" fillId="20" borderId="14" xfId="0" applyFont="1" applyFill="1" applyBorder="1" applyAlignment="1">
      <alignment horizontal="left" vertical="center" wrapText="1"/>
    </xf>
    <xf numFmtId="0" fontId="6" fillId="14" borderId="14" xfId="0" applyFont="1" applyFill="1" applyBorder="1" applyAlignment="1">
      <alignment horizontal="left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 shrinkToFit="1"/>
    </xf>
    <xf numFmtId="0" fontId="20" fillId="13" borderId="14" xfId="0" applyFont="1" applyFill="1" applyBorder="1" applyAlignment="1">
      <alignment horizontal="center" vertical="center" wrapText="1" shrinkToFit="1"/>
    </xf>
    <xf numFmtId="0" fontId="6" fillId="13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 shrinkToFit="1"/>
    </xf>
    <xf numFmtId="0" fontId="6" fillId="4" borderId="14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166" fontId="10" fillId="0" borderId="14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 shrinkToFit="1"/>
    </xf>
    <xf numFmtId="0" fontId="6" fillId="17" borderId="14" xfId="0" applyFont="1" applyFill="1" applyBorder="1" applyAlignment="1">
      <alignment horizontal="left" vertical="center" wrapText="1" shrinkToFit="1"/>
    </xf>
    <xf numFmtId="0" fontId="6" fillId="22" borderId="14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10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10" fontId="6" fillId="0" borderId="14" xfId="0" applyNumberFormat="1" applyFont="1" applyBorder="1" applyAlignment="1">
      <alignment horizontal="center"/>
    </xf>
    <xf numFmtId="10" fontId="6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 shrinkToFit="1"/>
    </xf>
    <xf numFmtId="1" fontId="6" fillId="2" borderId="14" xfId="0" applyNumberFormat="1" applyFont="1" applyFill="1" applyBorder="1" applyAlignment="1">
      <alignment horizontal="center" vertical="center" wrapText="1"/>
    </xf>
    <xf numFmtId="1" fontId="6" fillId="2" borderId="14" xfId="0" applyNumberFormat="1" applyFont="1" applyFill="1" applyBorder="1" applyAlignment="1">
      <alignment horizontal="left" vertical="center" wrapText="1"/>
    </xf>
    <xf numFmtId="0" fontId="6" fillId="23" borderId="14" xfId="0" applyFont="1" applyFill="1" applyBorder="1" applyAlignment="1">
      <alignment horizontal="center" vertical="center" wrapText="1"/>
    </xf>
    <xf numFmtId="10" fontId="10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wrapText="1" shrinkToFit="1"/>
    </xf>
    <xf numFmtId="0" fontId="6" fillId="2" borderId="14" xfId="0" applyFont="1" applyFill="1" applyBorder="1" applyAlignment="1">
      <alignment horizontal="center" vertical="center" wrapText="1" shrinkToFit="1"/>
    </xf>
    <xf numFmtId="0" fontId="6" fillId="2" borderId="14" xfId="0" applyFont="1" applyFill="1" applyBorder="1" applyAlignment="1">
      <alignment horizontal="left" vertical="center" wrapText="1" shrinkToFit="1"/>
    </xf>
    <xf numFmtId="0" fontId="6" fillId="13" borderId="14" xfId="0" applyFont="1" applyFill="1" applyBorder="1" applyAlignment="1">
      <alignment wrapText="1"/>
    </xf>
    <xf numFmtId="10" fontId="6" fillId="13" borderId="14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10" fontId="6" fillId="13" borderId="14" xfId="0" applyNumberFormat="1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 shrinkToFit="1"/>
    </xf>
    <xf numFmtId="0" fontId="20" fillId="0" borderId="14" xfId="0" applyFont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 shrinkToFit="1"/>
    </xf>
    <xf numFmtId="0" fontId="6" fillId="11" borderId="14" xfId="0" applyFont="1" applyFill="1" applyBorder="1" applyAlignment="1">
      <alignment horizontal="left" vertical="center" wrapText="1" shrinkToFit="1"/>
    </xf>
    <xf numFmtId="0" fontId="6" fillId="2" borderId="14" xfId="0" applyFont="1" applyFill="1" applyBorder="1" applyAlignment="1">
      <alignment vertical="center" wrapText="1"/>
    </xf>
    <xf numFmtId="14" fontId="6" fillId="25" borderId="14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 shrinkToFi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 shrinkToFit="1"/>
    </xf>
    <xf numFmtId="0" fontId="6" fillId="10" borderId="14" xfId="0" applyFont="1" applyFill="1" applyBorder="1" applyAlignment="1">
      <alignment horizontal="center" vertical="center" wrapText="1" shrinkToFit="1"/>
    </xf>
    <xf numFmtId="0" fontId="6" fillId="10" borderId="14" xfId="0" applyFont="1" applyFill="1" applyBorder="1" applyAlignment="1">
      <alignment horizontal="left" vertical="center" wrapText="1" shrinkToFit="1"/>
    </xf>
    <xf numFmtId="14" fontId="6" fillId="14" borderId="14" xfId="0" applyNumberFormat="1" applyFont="1" applyFill="1" applyBorder="1" applyAlignment="1">
      <alignment horizontal="center" vertical="center" wrapText="1"/>
    </xf>
    <xf numFmtId="166" fontId="10" fillId="14" borderId="14" xfId="0" applyNumberFormat="1" applyFont="1" applyFill="1" applyBorder="1" applyAlignment="1">
      <alignment horizontal="center" vertical="center" wrapText="1"/>
    </xf>
    <xf numFmtId="20" fontId="6" fillId="14" borderId="14" xfId="0" applyNumberFormat="1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/>
    </xf>
    <xf numFmtId="10" fontId="6" fillId="14" borderId="14" xfId="0" applyNumberFormat="1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 shrinkToFit="1"/>
    </xf>
    <xf numFmtId="166" fontId="6" fillId="0" borderId="14" xfId="0" applyNumberFormat="1" applyFont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 shrinkToFit="1"/>
    </xf>
    <xf numFmtId="0" fontId="6" fillId="13" borderId="14" xfId="0" applyFont="1" applyFill="1" applyBorder="1" applyAlignment="1">
      <alignment horizontal="center"/>
    </xf>
    <xf numFmtId="1" fontId="6" fillId="10" borderId="14" xfId="0" applyNumberFormat="1" applyFont="1" applyFill="1" applyBorder="1" applyAlignment="1">
      <alignment horizontal="center" vertical="center" wrapText="1"/>
    </xf>
    <xf numFmtId="9" fontId="6" fillId="0" borderId="14" xfId="0" applyNumberFormat="1" applyFont="1" applyBorder="1" applyAlignment="1">
      <alignment horizontal="center" vertical="center" wrapText="1"/>
    </xf>
    <xf numFmtId="14" fontId="16" fillId="0" borderId="14" xfId="0" applyNumberFormat="1" applyFont="1" applyBorder="1" applyAlignment="1">
      <alignment horizontal="center" vertical="center" wrapText="1"/>
    </xf>
    <xf numFmtId="165" fontId="16" fillId="0" borderId="14" xfId="0" applyNumberFormat="1" applyFont="1" applyBorder="1" applyAlignment="1">
      <alignment horizontal="left" vertical="center" wrapText="1"/>
    </xf>
    <xf numFmtId="166" fontId="15" fillId="0" borderId="14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 shrinkToFit="1"/>
    </xf>
    <xf numFmtId="0" fontId="16" fillId="2" borderId="14" xfId="0" applyFont="1" applyFill="1" applyBorder="1" applyAlignment="1">
      <alignment horizontal="left" vertical="center" wrapText="1" shrinkToFit="1"/>
    </xf>
    <xf numFmtId="0" fontId="16" fillId="4" borderId="14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10" fontId="16" fillId="0" borderId="14" xfId="0" applyNumberFormat="1" applyFont="1" applyBorder="1" applyAlignment="1">
      <alignment horizontal="center" vertical="center" wrapText="1"/>
    </xf>
    <xf numFmtId="9" fontId="16" fillId="0" borderId="14" xfId="0" applyNumberFormat="1" applyFont="1" applyBorder="1" applyAlignment="1">
      <alignment horizontal="center" vertical="center" wrapText="1"/>
    </xf>
    <xf numFmtId="10" fontId="16" fillId="0" borderId="14" xfId="0" applyNumberFormat="1" applyFont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 wrapText="1" shrinkToFit="1"/>
    </xf>
    <xf numFmtId="166" fontId="18" fillId="0" borderId="14" xfId="0" applyNumberFormat="1" applyFont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left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" fontId="6" fillId="17" borderId="14" xfId="0" applyNumberFormat="1" applyFont="1" applyFill="1" applyBorder="1" applyAlignment="1">
      <alignment horizontal="center" vertical="center" wrapText="1"/>
    </xf>
    <xf numFmtId="1" fontId="6" fillId="17" borderId="14" xfId="0" applyNumberFormat="1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vertical="center" wrapText="1" shrinkToFit="1"/>
    </xf>
    <xf numFmtId="0" fontId="6" fillId="13" borderId="14" xfId="0" applyFont="1" applyFill="1" applyBorder="1" applyAlignment="1">
      <alignment horizontal="center" wrapText="1"/>
    </xf>
    <xf numFmtId="10" fontId="6" fillId="13" borderId="14" xfId="0" applyNumberFormat="1" applyFont="1" applyFill="1" applyBorder="1" applyAlignment="1">
      <alignment horizontal="center"/>
    </xf>
    <xf numFmtId="10" fontId="6" fillId="13" borderId="14" xfId="3" applyNumberFormat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wrapText="1"/>
    </xf>
    <xf numFmtId="0" fontId="10" fillId="22" borderId="14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166" fontId="10" fillId="20" borderId="14" xfId="0" applyNumberFormat="1" applyFont="1" applyFill="1" applyBorder="1" applyAlignment="1">
      <alignment horizontal="center" vertical="center" wrapText="1"/>
    </xf>
    <xf numFmtId="20" fontId="6" fillId="20" borderId="14" xfId="0" applyNumberFormat="1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horizontal="center" vertical="center"/>
    </xf>
    <xf numFmtId="10" fontId="6" fillId="20" borderId="14" xfId="0" applyNumberFormat="1" applyFont="1" applyFill="1" applyBorder="1" applyAlignment="1">
      <alignment horizontal="center" vertical="center"/>
    </xf>
    <xf numFmtId="0" fontId="6" fillId="20" borderId="14" xfId="0" applyFont="1" applyFill="1" applyBorder="1" applyAlignment="1">
      <alignment horizontal="center" vertical="center" wrapText="1" shrinkToFit="1"/>
    </xf>
    <xf numFmtId="0" fontId="7" fillId="13" borderId="14" xfId="0" applyFont="1" applyFill="1" applyBorder="1" applyAlignment="1">
      <alignment horizontal="center" vertical="center" wrapText="1"/>
    </xf>
    <xf numFmtId="14" fontId="6" fillId="20" borderId="14" xfId="0" applyNumberFormat="1" applyFont="1" applyFill="1" applyBorder="1" applyAlignment="1">
      <alignment horizontal="center" vertical="center" wrapText="1"/>
    </xf>
    <xf numFmtId="0" fontId="7" fillId="20" borderId="14" xfId="0" applyFont="1" applyFill="1" applyBorder="1" applyAlignment="1">
      <alignment horizontal="center" vertical="center" wrapText="1"/>
    </xf>
    <xf numFmtId="10" fontId="6" fillId="20" borderId="14" xfId="0" applyNumberFormat="1" applyFont="1" applyFill="1" applyBorder="1" applyAlignment="1">
      <alignment horizontal="center" vertical="center" wrapText="1"/>
    </xf>
    <xf numFmtId="0" fontId="7" fillId="20" borderId="14" xfId="0" applyFont="1" applyFill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 shrinkToFit="1"/>
    </xf>
    <xf numFmtId="0" fontId="16" fillId="17" borderId="14" xfId="0" applyFont="1" applyFill="1" applyBorder="1" applyAlignment="1">
      <alignment horizontal="left" vertical="center" wrapText="1" shrinkToFit="1"/>
    </xf>
    <xf numFmtId="0" fontId="16" fillId="9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/>
    </xf>
    <xf numFmtId="10" fontId="14" fillId="13" borderId="14" xfId="0" applyNumberFormat="1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 shrinkToFit="1"/>
    </xf>
    <xf numFmtId="0" fontId="10" fillId="2" borderId="14" xfId="0" applyFont="1" applyFill="1" applyBorder="1" applyAlignment="1">
      <alignment horizontal="center" vertical="center" wrapText="1" shrinkToFit="1"/>
    </xf>
    <xf numFmtId="0" fontId="10" fillId="2" borderId="14" xfId="0" applyFont="1" applyFill="1" applyBorder="1" applyAlignment="1">
      <alignment vertical="center" wrapText="1" shrinkToFit="1"/>
    </xf>
    <xf numFmtId="0" fontId="10" fillId="0" borderId="14" xfId="0" applyFont="1" applyBorder="1" applyAlignment="1">
      <alignment wrapText="1"/>
    </xf>
    <xf numFmtId="0" fontId="10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20" fillId="24" borderId="14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 shrinkToFit="1"/>
    </xf>
    <xf numFmtId="0" fontId="16" fillId="18" borderId="14" xfId="0" applyFont="1" applyFill="1" applyBorder="1" applyAlignment="1">
      <alignment horizontal="left" vertical="center" wrapText="1" shrinkToFit="1"/>
    </xf>
    <xf numFmtId="0" fontId="16" fillId="13" borderId="14" xfId="0" applyFont="1" applyFill="1" applyBorder="1" applyAlignment="1">
      <alignment horizontal="center" vertical="center" wrapText="1" shrinkToFit="1"/>
    </xf>
    <xf numFmtId="0" fontId="16" fillId="3" borderId="14" xfId="0" applyFont="1" applyFill="1" applyBorder="1" applyAlignment="1">
      <alignment horizontal="center" vertical="center" wrapText="1"/>
    </xf>
    <xf numFmtId="0" fontId="16" fillId="22" borderId="14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/>
    </xf>
    <xf numFmtId="0" fontId="9" fillId="13" borderId="14" xfId="0" applyFont="1" applyFill="1" applyBorder="1" applyAlignment="1">
      <alignment horizontal="center" vertical="center" wrapText="1" shrinkToFit="1"/>
    </xf>
    <xf numFmtId="0" fontId="6" fillId="17" borderId="14" xfId="0" applyFont="1" applyFill="1" applyBorder="1" applyAlignment="1">
      <alignment vertical="center" wrapText="1" shrinkToFit="1"/>
    </xf>
    <xf numFmtId="0" fontId="16" fillId="10" borderId="14" xfId="0" applyFont="1" applyFill="1" applyBorder="1" applyAlignment="1">
      <alignment horizontal="center" vertical="center" wrapText="1" shrinkToFit="1"/>
    </xf>
    <xf numFmtId="0" fontId="16" fillId="10" borderId="14" xfId="0" applyFont="1" applyFill="1" applyBorder="1" applyAlignment="1">
      <alignment horizontal="left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0" fontId="16" fillId="13" borderId="14" xfId="0" applyFont="1" applyFill="1" applyBorder="1" applyAlignment="1">
      <alignment horizontal="center" vertical="center" wrapText="1"/>
    </xf>
    <xf numFmtId="0" fontId="16" fillId="13" borderId="14" xfId="0" applyFont="1" applyFill="1" applyBorder="1" applyAlignment="1">
      <alignment wrapText="1"/>
    </xf>
    <xf numFmtId="21" fontId="15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 shrinkToFit="1"/>
    </xf>
    <xf numFmtId="22" fontId="15" fillId="0" borderId="14" xfId="0" applyNumberFormat="1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vertical="center" wrapText="1" shrinkToFit="1"/>
    </xf>
    <xf numFmtId="10" fontId="16" fillId="13" borderId="14" xfId="0" applyNumberFormat="1" applyFont="1" applyFill="1" applyBorder="1" applyAlignment="1">
      <alignment horizontal="center" vertical="center"/>
    </xf>
    <xf numFmtId="0" fontId="16" fillId="13" borderId="14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vertical="center"/>
    </xf>
    <xf numFmtId="0" fontId="10" fillId="0" borderId="14" xfId="0" applyFont="1" applyBorder="1" applyAlignment="1">
      <alignment vertical="center" wrapText="1"/>
    </xf>
    <xf numFmtId="10" fontId="14" fillId="0" borderId="14" xfId="0" applyNumberFormat="1" applyFont="1" applyBorder="1" applyAlignment="1">
      <alignment vertical="center"/>
    </xf>
    <xf numFmtId="0" fontId="8" fillId="24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49" fontId="6" fillId="15" borderId="14" xfId="0" applyNumberFormat="1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 shrinkToFit="1"/>
    </xf>
    <xf numFmtId="0" fontId="10" fillId="10" borderId="14" xfId="0" applyFont="1" applyFill="1" applyBorder="1" applyAlignment="1">
      <alignment horizontal="left" vertical="center" wrapText="1" shrinkToFit="1"/>
    </xf>
    <xf numFmtId="0" fontId="10" fillId="6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 shrinkToFit="1"/>
    </xf>
    <xf numFmtId="1" fontId="6" fillId="17" borderId="14" xfId="0" applyNumberFormat="1" applyFont="1" applyFill="1" applyBorder="1" applyAlignment="1">
      <alignment horizontal="center" vertical="center" wrapText="1" shrinkToFit="1"/>
    </xf>
    <xf numFmtId="0" fontId="6" fillId="24" borderId="14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6" fillId="23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wrapText="1" shrinkToFit="1"/>
    </xf>
    <xf numFmtId="10" fontId="29" fillId="0" borderId="14" xfId="0" applyNumberFormat="1" applyFont="1" applyBorder="1" applyAlignment="1">
      <alignment horizontal="center" vertical="center"/>
    </xf>
    <xf numFmtId="0" fontId="6" fillId="18" borderId="14" xfId="0" applyFont="1" applyFill="1" applyBorder="1" applyAlignment="1">
      <alignment horizontal="center" vertical="center" wrapText="1" shrinkToFit="1"/>
    </xf>
    <xf numFmtId="0" fontId="6" fillId="18" borderId="14" xfId="0" applyFont="1" applyFill="1" applyBorder="1" applyAlignment="1">
      <alignment vertical="center" wrapText="1" shrinkToFit="1"/>
    </xf>
    <xf numFmtId="0" fontId="10" fillId="2" borderId="14" xfId="0" applyFont="1" applyFill="1" applyBorder="1" applyAlignment="1">
      <alignment horizontal="left" vertical="center" wrapText="1" shrinkToFit="1"/>
    </xf>
    <xf numFmtId="0" fontId="10" fillId="3" borderId="14" xfId="0" applyFont="1" applyFill="1" applyBorder="1" applyAlignment="1">
      <alignment horizontal="center" vertical="center" wrapText="1"/>
    </xf>
    <xf numFmtId="10" fontId="10" fillId="13" borderId="14" xfId="0" applyNumberFormat="1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wrapText="1"/>
    </xf>
    <xf numFmtId="0" fontId="10" fillId="17" borderId="14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10" fontId="10" fillId="0" borderId="14" xfId="0" applyNumberFormat="1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 shrinkToFit="1"/>
    </xf>
    <xf numFmtId="0" fontId="10" fillId="17" borderId="14" xfId="0" applyFont="1" applyFill="1" applyBorder="1" applyAlignment="1">
      <alignment horizontal="left" vertical="center" wrapText="1" shrinkToFit="1"/>
    </xf>
    <xf numFmtId="1" fontId="6" fillId="17" borderId="14" xfId="0" applyNumberFormat="1" applyFont="1" applyFill="1" applyBorder="1" applyAlignment="1">
      <alignment horizontal="left" vertical="center" wrapText="1" shrinkToFit="1"/>
    </xf>
    <xf numFmtId="0" fontId="6" fillId="0" borderId="14" xfId="0" applyFont="1" applyBorder="1" applyAlignment="1">
      <alignment horizontal="center" wrapText="1" shrinkToFit="1"/>
    </xf>
    <xf numFmtId="9" fontId="6" fillId="0" borderId="14" xfId="0" applyNumberFormat="1" applyFont="1" applyBorder="1" applyAlignment="1">
      <alignment horizontal="center" vertical="center"/>
    </xf>
    <xf numFmtId="1" fontId="16" fillId="17" borderId="14" xfId="0" applyNumberFormat="1" applyFont="1" applyFill="1" applyBorder="1" applyAlignment="1">
      <alignment horizontal="center" vertical="center" wrapText="1"/>
    </xf>
    <xf numFmtId="1" fontId="16" fillId="17" borderId="14" xfId="0" applyNumberFormat="1" applyFont="1" applyFill="1" applyBorder="1" applyAlignment="1">
      <alignment horizontal="left" vertical="center" wrapText="1"/>
    </xf>
    <xf numFmtId="0" fontId="10" fillId="7" borderId="14" xfId="0" applyFont="1" applyFill="1" applyBorder="1" applyAlignment="1">
      <alignment horizontal="center" vertical="center" wrapText="1"/>
    </xf>
    <xf numFmtId="166" fontId="28" fillId="0" borderId="14" xfId="0" applyNumberFormat="1" applyFont="1" applyBorder="1" applyAlignment="1">
      <alignment horizontal="center" vertical="center" wrapText="1"/>
    </xf>
    <xf numFmtId="20" fontId="15" fillId="0" borderId="14" xfId="0" applyNumberFormat="1" applyFont="1" applyBorder="1" applyAlignment="1">
      <alignment horizontal="center" vertical="center" wrapText="1"/>
    </xf>
    <xf numFmtId="0" fontId="16" fillId="13" borderId="14" xfId="0" applyFont="1" applyFill="1" applyBorder="1" applyAlignment="1">
      <alignment vertical="center" wrapText="1" shrinkToFit="1"/>
    </xf>
    <xf numFmtId="0" fontId="15" fillId="3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 shrinkToFit="1"/>
    </xf>
    <xf numFmtId="10" fontId="14" fillId="0" borderId="14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20" fontId="10" fillId="0" borderId="14" xfId="0" applyNumberFormat="1" applyFont="1" applyBorder="1" applyAlignment="1">
      <alignment horizontal="center" vertical="center" wrapText="1"/>
    </xf>
    <xf numFmtId="20" fontId="6" fillId="0" borderId="14" xfId="0" applyNumberFormat="1" applyFont="1" applyBorder="1" applyAlignment="1">
      <alignment horizontal="center" vertical="center" wrapText="1"/>
    </xf>
    <xf numFmtId="21" fontId="10" fillId="0" borderId="14" xfId="0" applyNumberFormat="1" applyFont="1" applyBorder="1" applyAlignment="1">
      <alignment horizontal="center" vertical="center" wrapText="1"/>
    </xf>
    <xf numFmtId="166" fontId="14" fillId="0" borderId="14" xfId="0" applyNumberFormat="1" applyFont="1" applyBorder="1" applyAlignment="1">
      <alignment horizontal="center" vertical="center" wrapText="1"/>
    </xf>
    <xf numFmtId="0" fontId="40" fillId="0" borderId="14" xfId="2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/>
    </xf>
    <xf numFmtId="0" fontId="39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1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0" fontId="16" fillId="0" borderId="15" xfId="0" applyNumberFormat="1" applyFont="1" applyBorder="1" applyAlignment="1">
      <alignment horizontal="center" vertical="center" wrapText="1"/>
    </xf>
    <xf numFmtId="10" fontId="16" fillId="0" borderId="16" xfId="0" applyNumberFormat="1" applyFont="1" applyBorder="1" applyAlignment="1">
      <alignment horizontal="center" vertical="center"/>
    </xf>
    <xf numFmtId="166" fontId="10" fillId="26" borderId="14" xfId="0" applyNumberFormat="1" applyFont="1" applyFill="1" applyBorder="1" applyAlignment="1">
      <alignment horizontal="center" vertical="center" wrapText="1"/>
    </xf>
    <xf numFmtId="0" fontId="10" fillId="26" borderId="14" xfId="0" applyFont="1" applyFill="1" applyBorder="1" applyAlignment="1">
      <alignment horizontal="center" vertical="center" wrapText="1"/>
    </xf>
    <xf numFmtId="0" fontId="20" fillId="27" borderId="14" xfId="0" applyFont="1" applyFill="1" applyBorder="1" applyAlignment="1">
      <alignment horizontal="center" vertical="center" wrapText="1"/>
    </xf>
    <xf numFmtId="20" fontId="41" fillId="0" borderId="14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9" fontId="14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0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35" fillId="24" borderId="9" xfId="0" applyFont="1" applyFill="1" applyBorder="1" applyAlignment="1">
      <alignment horizontal="center" vertical="center" wrapText="1"/>
    </xf>
    <xf numFmtId="0" fontId="20" fillId="26" borderId="14" xfId="0" applyFont="1" applyFill="1" applyBorder="1" applyAlignment="1">
      <alignment horizontal="center" vertical="center" wrapText="1" shrinkToFit="1"/>
    </xf>
    <xf numFmtId="0" fontId="6" fillId="5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 shrinkToFit="1"/>
    </xf>
    <xf numFmtId="20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 shrinkToFit="1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49" fontId="6" fillId="3" borderId="14" xfId="0" applyNumberFormat="1" applyFont="1" applyFill="1" applyBorder="1" applyAlignment="1">
      <alignment horizontal="center" vertical="center" wrapText="1"/>
    </xf>
    <xf numFmtId="49" fontId="6" fillId="21" borderId="14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center" vertical="center" wrapText="1"/>
    </xf>
    <xf numFmtId="0" fontId="11" fillId="19" borderId="14" xfId="0" applyFont="1" applyFill="1" applyBorder="1" applyAlignment="1">
      <alignment horizontal="center" vertical="center" wrapText="1"/>
    </xf>
    <xf numFmtId="0" fontId="5" fillId="22" borderId="14" xfId="0" applyFont="1" applyFill="1" applyBorder="1" applyAlignment="1">
      <alignment horizontal="center" vertical="center" wrapText="1"/>
    </xf>
    <xf numFmtId="49" fontId="6" fillId="22" borderId="14" xfId="0" applyNumberFormat="1" applyFont="1" applyFill="1" applyBorder="1" applyAlignment="1">
      <alignment horizontal="center" vertical="center" wrapText="1"/>
    </xf>
    <xf numFmtId="0" fontId="6" fillId="21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6" fillId="21" borderId="14" xfId="0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 wrapText="1"/>
    </xf>
    <xf numFmtId="49" fontId="6" fillId="6" borderId="14" xfId="0" applyNumberFormat="1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6" fillId="21" borderId="14" xfId="0" applyNumberFormat="1" applyFont="1" applyFill="1" applyBorder="1" applyAlignment="1">
      <alignment horizontal="center" vertical="center" wrapText="1"/>
    </xf>
    <xf numFmtId="164" fontId="6" fillId="21" borderId="1" xfId="0" applyNumberFormat="1" applyFont="1" applyFill="1" applyBorder="1" applyAlignment="1">
      <alignment horizontal="center" vertical="center" wrapText="1"/>
    </xf>
    <xf numFmtId="164" fontId="6" fillId="21" borderId="2" xfId="0" applyNumberFormat="1" applyFont="1" applyFill="1" applyBorder="1" applyAlignment="1">
      <alignment horizontal="center" vertical="center" wrapText="1"/>
    </xf>
    <xf numFmtId="164" fontId="6" fillId="21" borderId="3" xfId="0" applyNumberFormat="1" applyFont="1" applyFill="1" applyBorder="1" applyAlignment="1">
      <alignment horizontal="center" vertical="center" wrapText="1"/>
    </xf>
    <xf numFmtId="164" fontId="6" fillId="21" borderId="6" xfId="0" applyNumberFormat="1" applyFont="1" applyFill="1" applyBorder="1" applyAlignment="1">
      <alignment horizontal="center" vertical="center" wrapText="1"/>
    </xf>
    <xf numFmtId="164" fontId="6" fillId="21" borderId="7" xfId="0" applyNumberFormat="1" applyFont="1" applyFill="1" applyBorder="1" applyAlignment="1">
      <alignment horizontal="center" vertical="center" wrapText="1"/>
    </xf>
    <xf numFmtId="164" fontId="6" fillId="21" borderId="8" xfId="0" applyNumberFormat="1" applyFont="1" applyFill="1" applyBorder="1" applyAlignment="1">
      <alignment horizontal="center" vertical="center" wrapText="1"/>
    </xf>
    <xf numFmtId="164" fontId="6" fillId="21" borderId="9" xfId="0" applyNumberFormat="1" applyFont="1" applyFill="1" applyBorder="1" applyAlignment="1">
      <alignment horizontal="center" vertical="center" wrapText="1"/>
    </xf>
    <xf numFmtId="164" fontId="6" fillId="21" borderId="15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 vertical="center" wrapText="1"/>
    </xf>
  </cellXfs>
  <cellStyles count="8">
    <cellStyle name="Hyperlink" xfId="7" xr:uid="{00000000-000B-0000-0000-000008000000}"/>
    <cellStyle name="Komma 2" xfId="5" xr:uid="{14CA212A-AB6A-42D5-A9CF-BE79789FF511}"/>
    <cellStyle name="Normal" xfId="1" xr:uid="{00000000-0005-0000-0000-000001000000}"/>
    <cellStyle name="Prozent" xfId="3" builtinId="5"/>
    <cellStyle name="Prozent 2" xfId="4" xr:uid="{E62D8DAB-CEE8-45D8-9E2D-CCD3920AA1A5}"/>
    <cellStyle name="Prozent 3" xfId="6" xr:uid="{A0EEB6C8-902D-4BBC-B128-CCC0C281C2E7}"/>
    <cellStyle name="Standard" xfId="0" builtinId="0"/>
    <cellStyle name="Standard_Tabelle1" xfId="2" xr:uid="{00000000-0005-0000-0000-000003000000}"/>
  </cellStyles>
  <dxfs count="5">
    <dxf>
      <fill>
        <patternFill patternType="solid">
          <fgColor rgb="FFFFB3F6"/>
          <bgColor rgb="FFFFB3F6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FFBFBD"/>
          <bgColor rgb="FFFFBFBD"/>
        </patternFill>
      </fill>
    </dxf>
  </dxfs>
  <tableStyles count="0" defaultTableStyle="TableStyleMedium2" defaultPivotStyle="PivotStyleLight16"/>
  <colors>
    <mruColors>
      <color rgb="FFFA8282"/>
      <color rgb="FF7DFFB1"/>
      <color rgb="FF00FFFF"/>
      <color rgb="FFF59AE6"/>
      <color rgb="FFFF61E5"/>
      <color rgb="FFFF33CC"/>
      <color rgb="FFFF00D4"/>
      <color rgb="FF93FFFF"/>
      <color rgb="FFFFDDDD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84"/>
  <sheetViews>
    <sheetView tabSelected="1" zoomScale="80" zoomScaleNormal="80" workbookViewId="0">
      <pane ySplit="1" topLeftCell="A112" activePane="bottomLeft" state="frozen"/>
      <selection activeCell="AI1" sqref="AI1"/>
      <selection pane="bottomLeft" activeCell="E122" sqref="E122"/>
    </sheetView>
  </sheetViews>
  <sheetFormatPr baseColWidth="10" defaultColWidth="32.44140625" defaultRowHeight="13.2"/>
  <cols>
    <col min="1" max="1" width="27.6640625" style="12" bestFit="1" customWidth="1"/>
    <col min="2" max="2" width="6.44140625" style="1" bestFit="1" customWidth="1"/>
    <col min="3" max="3" width="7.44140625" style="6" bestFit="1" customWidth="1"/>
    <col min="4" max="4" width="15.33203125" style="3" bestFit="1" customWidth="1"/>
    <col min="5" max="5" width="24.109375" style="1" bestFit="1" customWidth="1"/>
    <col min="6" max="6" width="7.44140625" style="10" bestFit="1" customWidth="1"/>
    <col min="7" max="7" width="66.33203125" style="1" bestFit="1" customWidth="1"/>
    <col min="8" max="8" width="21.109375" style="1" bestFit="1" customWidth="1"/>
    <col min="9" max="9" width="2.88671875" style="1" bestFit="1" customWidth="1"/>
    <col min="10" max="10" width="3.33203125" style="1" bestFit="1" customWidth="1"/>
    <col min="11" max="11" width="5.6640625" style="1" customWidth="1"/>
    <col min="12" max="12" width="7.5546875" style="1" bestFit="1" customWidth="1"/>
    <col min="13" max="13" width="4.44140625" style="1" bestFit="1" customWidth="1"/>
    <col min="14" max="14" width="7.88671875" style="1" customWidth="1"/>
    <col min="15" max="16" width="7.33203125" style="1" bestFit="1" customWidth="1"/>
    <col min="17" max="17" width="4.88671875" style="1" bestFit="1" customWidth="1"/>
    <col min="18" max="18" width="4.88671875" style="1" customWidth="1"/>
    <col min="19" max="20" width="3.5546875" style="1" bestFit="1" customWidth="1"/>
    <col min="21" max="21" width="4.88671875" style="1" bestFit="1" customWidth="1"/>
    <col min="22" max="23" width="4.33203125" style="1" bestFit="1" customWidth="1"/>
    <col min="24" max="24" width="4.33203125" style="11" customWidth="1"/>
    <col min="25" max="25" width="25.6640625" style="11" bestFit="1" customWidth="1"/>
    <col min="26" max="26" width="29.88671875" style="10" bestFit="1" customWidth="1"/>
    <col min="27" max="27" width="23.5546875" style="11" bestFit="1" customWidth="1"/>
    <col min="28" max="28" width="45.6640625" style="11" bestFit="1" customWidth="1"/>
    <col min="29" max="29" width="8.5546875" style="11" bestFit="1" customWidth="1"/>
    <col min="30" max="30" width="39.44140625" style="10" bestFit="1" customWidth="1"/>
    <col min="31" max="31" width="8.5546875" style="11" bestFit="1" customWidth="1"/>
    <col min="32" max="32" width="59" style="1" bestFit="1" customWidth="1"/>
    <col min="33" max="33" width="29.44140625" style="9" bestFit="1" customWidth="1"/>
    <col min="34" max="34" width="36.6640625" style="9" bestFit="1" customWidth="1"/>
    <col min="35" max="16384" width="32.44140625" style="1"/>
  </cols>
  <sheetData>
    <row r="1" spans="1:34" ht="30">
      <c r="A1" s="317" t="s">
        <v>0</v>
      </c>
      <c r="B1" s="318"/>
      <c r="C1" s="318"/>
      <c r="D1" s="318"/>
      <c r="E1" s="319"/>
      <c r="F1" s="291"/>
      <c r="G1" s="22" t="s">
        <v>1</v>
      </c>
      <c r="H1" s="23" t="s">
        <v>2</v>
      </c>
      <c r="I1" s="295" t="s">
        <v>3</v>
      </c>
      <c r="J1" s="295"/>
      <c r="K1" s="295"/>
      <c r="L1" s="294" t="s">
        <v>4</v>
      </c>
      <c r="M1" s="294"/>
      <c r="N1" s="24" t="s">
        <v>5</v>
      </c>
      <c r="O1" s="310" t="s">
        <v>6</v>
      </c>
      <c r="P1" s="310"/>
      <c r="Q1" s="297" t="s">
        <v>7</v>
      </c>
      <c r="R1" s="297"/>
      <c r="S1" s="307" t="s">
        <v>8</v>
      </c>
      <c r="T1" s="307"/>
      <c r="U1" s="25" t="s">
        <v>9</v>
      </c>
      <c r="V1" s="26" t="s">
        <v>10</v>
      </c>
      <c r="W1" s="27" t="s">
        <v>11</v>
      </c>
      <c r="X1" s="28"/>
      <c r="Y1" s="296" t="s">
        <v>12</v>
      </c>
      <c r="Z1" s="296"/>
      <c r="AA1" s="296"/>
      <c r="AB1" s="296"/>
      <c r="AC1" s="296"/>
      <c r="AD1" s="296"/>
      <c r="AE1" s="296"/>
      <c r="AF1" s="296"/>
      <c r="AG1" s="309" t="s">
        <v>13</v>
      </c>
      <c r="AH1" s="309"/>
    </row>
    <row r="2" spans="1:34">
      <c r="A2" s="29" t="s">
        <v>14</v>
      </c>
      <c r="B2" s="333">
        <f ca="1">TODAY()</f>
        <v>45875</v>
      </c>
      <c r="C2" s="334"/>
      <c r="D2" s="334"/>
      <c r="E2" s="335"/>
      <c r="F2" s="291"/>
      <c r="G2" s="32" t="s">
        <v>15</v>
      </c>
      <c r="H2" s="23" t="s">
        <v>16</v>
      </c>
      <c r="I2" s="33" t="s">
        <v>17</v>
      </c>
      <c r="J2" s="33" t="s">
        <v>18</v>
      </c>
      <c r="K2" s="33" t="s">
        <v>19</v>
      </c>
      <c r="L2" s="34"/>
      <c r="M2" s="34"/>
      <c r="N2" s="35"/>
      <c r="O2" s="36" t="s">
        <v>20</v>
      </c>
      <c r="P2" s="36" t="s">
        <v>21</v>
      </c>
      <c r="Q2" s="37" t="s">
        <v>22</v>
      </c>
      <c r="R2" s="37" t="s">
        <v>23</v>
      </c>
      <c r="S2" s="38" t="s">
        <v>17</v>
      </c>
      <c r="T2" s="38" t="s">
        <v>18</v>
      </c>
      <c r="U2" s="39"/>
      <c r="V2" s="40"/>
      <c r="W2" s="41"/>
      <c r="X2" s="28"/>
      <c r="Y2" s="296"/>
      <c r="Z2" s="296"/>
      <c r="AA2" s="296"/>
      <c r="AB2" s="296"/>
      <c r="AC2" s="296"/>
      <c r="AD2" s="296"/>
      <c r="AE2" s="296"/>
      <c r="AF2" s="296"/>
      <c r="AG2" s="309"/>
      <c r="AH2" s="309"/>
    </row>
    <row r="3" spans="1:34">
      <c r="A3" s="331" t="s">
        <v>24</v>
      </c>
      <c r="B3" s="325" t="s">
        <v>25</v>
      </c>
      <c r="C3" s="326"/>
      <c r="D3" s="326"/>
      <c r="E3" s="327"/>
      <c r="F3" s="291"/>
      <c r="G3" s="42" t="s">
        <v>26</v>
      </c>
      <c r="H3" s="23" t="s">
        <v>27</v>
      </c>
      <c r="I3" s="292" t="s">
        <v>28</v>
      </c>
      <c r="J3" s="292"/>
      <c r="K3" s="292"/>
      <c r="L3" s="34" t="s">
        <v>28</v>
      </c>
      <c r="M3" s="34" t="s">
        <v>29</v>
      </c>
      <c r="N3" s="35" t="s">
        <v>30</v>
      </c>
      <c r="O3" s="311" t="s">
        <v>31</v>
      </c>
      <c r="P3" s="311"/>
      <c r="Q3" s="316">
        <v>15</v>
      </c>
      <c r="R3" s="316"/>
      <c r="S3" s="308" t="s">
        <v>28</v>
      </c>
      <c r="T3" s="308"/>
      <c r="U3" s="39" t="s">
        <v>28</v>
      </c>
      <c r="V3" s="40" t="s">
        <v>30</v>
      </c>
      <c r="W3" s="41" t="s">
        <v>32</v>
      </c>
      <c r="X3" s="28"/>
      <c r="Y3" s="296"/>
      <c r="Z3" s="296"/>
      <c r="AA3" s="296"/>
      <c r="AB3" s="296"/>
      <c r="AC3" s="296"/>
      <c r="AD3" s="296"/>
      <c r="AE3" s="296"/>
      <c r="AF3" s="296"/>
      <c r="AG3" s="309"/>
      <c r="AH3" s="309"/>
    </row>
    <row r="4" spans="1:34">
      <c r="A4" s="332"/>
      <c r="B4" s="328"/>
      <c r="C4" s="329"/>
      <c r="D4" s="329"/>
      <c r="E4" s="330"/>
      <c r="F4" s="291"/>
      <c r="G4" s="43" t="s">
        <v>33</v>
      </c>
      <c r="H4" s="23" t="s">
        <v>34</v>
      </c>
      <c r="I4" s="33"/>
      <c r="J4" s="33"/>
      <c r="K4" s="33"/>
      <c r="L4" s="34"/>
      <c r="M4" s="34"/>
      <c r="N4" s="35"/>
      <c r="O4" s="36"/>
      <c r="P4" s="36"/>
      <c r="Q4" s="315" t="s">
        <v>35</v>
      </c>
      <c r="R4" s="315"/>
      <c r="S4" s="38"/>
      <c r="T4" s="38"/>
      <c r="U4" s="39"/>
      <c r="V4" s="40"/>
      <c r="W4" s="41"/>
      <c r="X4" s="28"/>
      <c r="Y4" s="296"/>
      <c r="Z4" s="296"/>
      <c r="AA4" s="296"/>
      <c r="AB4" s="296"/>
      <c r="AC4" s="296"/>
      <c r="AD4" s="296"/>
      <c r="AE4" s="296"/>
      <c r="AF4" s="296"/>
      <c r="AG4" s="309"/>
      <c r="AH4" s="309"/>
    </row>
    <row r="5" spans="1:34" s="2" customFormat="1" ht="26.4">
      <c r="A5" s="320"/>
      <c r="B5" s="320"/>
      <c r="C5" s="320"/>
      <c r="D5" s="320"/>
      <c r="E5" s="321"/>
      <c r="F5" s="44" t="s">
        <v>36</v>
      </c>
      <c r="G5" s="44" t="s">
        <v>37</v>
      </c>
      <c r="H5" s="45" t="s">
        <v>38</v>
      </c>
      <c r="I5" s="293" t="s">
        <v>39</v>
      </c>
      <c r="J5" s="293"/>
      <c r="K5" s="293"/>
      <c r="L5" s="46" t="s">
        <v>40</v>
      </c>
      <c r="M5" s="44">
        <v>247</v>
      </c>
      <c r="N5" s="46" t="s">
        <v>41</v>
      </c>
      <c r="O5" s="312">
        <v>944</v>
      </c>
      <c r="P5" s="312"/>
      <c r="Q5" s="312" t="s">
        <v>42</v>
      </c>
      <c r="R5" s="312"/>
      <c r="S5" s="293" t="s">
        <v>39</v>
      </c>
      <c r="T5" s="293"/>
      <c r="U5" s="44">
        <v>555</v>
      </c>
      <c r="V5" s="44" t="s">
        <v>43</v>
      </c>
      <c r="W5" s="44">
        <v>154</v>
      </c>
      <c r="X5" s="47" t="s">
        <v>44</v>
      </c>
      <c r="Y5" s="296"/>
      <c r="Z5" s="296"/>
      <c r="AA5" s="296"/>
      <c r="AB5" s="296"/>
      <c r="AC5" s="296"/>
      <c r="AD5" s="296"/>
      <c r="AE5" s="296"/>
      <c r="AF5" s="296"/>
      <c r="AG5" s="45" t="s">
        <v>45</v>
      </c>
      <c r="AH5" s="45"/>
    </row>
    <row r="6" spans="1:34">
      <c r="A6" s="322"/>
      <c r="B6" s="322"/>
      <c r="C6" s="322"/>
      <c r="D6" s="322"/>
      <c r="E6" s="323"/>
      <c r="F6" s="21"/>
      <c r="G6" s="48"/>
      <c r="H6" s="290" t="s">
        <v>46</v>
      </c>
      <c r="I6" s="298" t="s">
        <v>47</v>
      </c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300"/>
      <c r="X6" s="313"/>
      <c r="Y6" s="312" t="s">
        <v>48</v>
      </c>
      <c r="Z6" s="314" t="s">
        <v>49</v>
      </c>
      <c r="AA6" s="314"/>
      <c r="AB6" s="314"/>
      <c r="AC6" s="314"/>
      <c r="AD6" s="312" t="s">
        <v>50</v>
      </c>
      <c r="AE6" s="314"/>
      <c r="AF6" s="314"/>
      <c r="AG6" s="290" t="s">
        <v>46</v>
      </c>
      <c r="AH6" s="290" t="s">
        <v>51</v>
      </c>
    </row>
    <row r="7" spans="1:34">
      <c r="A7" s="49"/>
      <c r="B7" s="324" t="s">
        <v>52</v>
      </c>
      <c r="C7" s="324"/>
      <c r="D7" s="324"/>
      <c r="E7" s="312" t="s">
        <v>53</v>
      </c>
      <c r="F7" s="21"/>
      <c r="G7" s="48"/>
      <c r="H7" s="290"/>
      <c r="I7" s="301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3"/>
      <c r="X7" s="313"/>
      <c r="Y7" s="312"/>
      <c r="Z7" s="312" t="s">
        <v>54</v>
      </c>
      <c r="AA7" s="312"/>
      <c r="AB7" s="312" t="s">
        <v>55</v>
      </c>
      <c r="AC7" s="312"/>
      <c r="AD7" s="312" t="s">
        <v>55</v>
      </c>
      <c r="AE7" s="312"/>
      <c r="AF7" s="312"/>
      <c r="AG7" s="290"/>
      <c r="AH7" s="290"/>
    </row>
    <row r="8" spans="1:34">
      <c r="A8" s="44" t="s">
        <v>56</v>
      </c>
      <c r="B8" s="46" t="s">
        <v>57</v>
      </c>
      <c r="C8" s="50" t="s">
        <v>58</v>
      </c>
      <c r="D8" s="44" t="s">
        <v>59</v>
      </c>
      <c r="E8" s="312"/>
      <c r="F8" s="21"/>
      <c r="G8" s="48"/>
      <c r="H8" s="290"/>
      <c r="I8" s="304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6"/>
      <c r="X8" s="313"/>
      <c r="Y8" s="312"/>
      <c r="Z8" s="18" t="s">
        <v>60</v>
      </c>
      <c r="AA8" s="18" t="s">
        <v>61</v>
      </c>
      <c r="AB8" s="18" t="s">
        <v>60</v>
      </c>
      <c r="AC8" s="18" t="s">
        <v>61</v>
      </c>
      <c r="AD8" s="18" t="s">
        <v>62</v>
      </c>
      <c r="AE8" s="18" t="s">
        <v>61</v>
      </c>
      <c r="AF8" s="18" t="s">
        <v>63</v>
      </c>
      <c r="AG8" s="290"/>
      <c r="AH8" s="290"/>
    </row>
    <row r="9" spans="1:34">
      <c r="A9" s="51"/>
      <c r="B9" s="18"/>
      <c r="C9" s="52"/>
      <c r="D9" s="18"/>
      <c r="E9" s="18"/>
      <c r="F9" s="18"/>
      <c r="G9" s="18"/>
      <c r="H9" s="53"/>
      <c r="I9" s="53"/>
      <c r="J9" s="53"/>
      <c r="K9" s="53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28"/>
      <c r="Y9" s="28"/>
      <c r="Z9" s="18"/>
      <c r="AA9" s="28"/>
      <c r="AB9" s="28"/>
      <c r="AC9" s="28"/>
      <c r="AD9" s="18"/>
      <c r="AE9" s="28"/>
      <c r="AF9" s="18"/>
      <c r="AG9" s="54"/>
      <c r="AH9" s="54"/>
    </row>
    <row r="10" spans="1:34">
      <c r="A10" s="121"/>
      <c r="B10" s="84">
        <f t="shared" ref="B10:B41" si="0">IF(C10="","",C10)</f>
        <v>45786</v>
      </c>
      <c r="C10" s="122">
        <v>45786</v>
      </c>
      <c r="D10" s="123">
        <v>0</v>
      </c>
      <c r="E10" s="123"/>
      <c r="F10" s="124"/>
      <c r="G10" s="70"/>
      <c r="H10" s="125"/>
      <c r="I10" s="125"/>
      <c r="J10" s="125"/>
      <c r="K10" s="125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6"/>
      <c r="Y10" s="124"/>
      <c r="Z10" s="124"/>
      <c r="AA10" s="127"/>
      <c r="AB10" s="124"/>
      <c r="AC10" s="124"/>
      <c r="AD10" s="124"/>
      <c r="AE10" s="124"/>
      <c r="AF10" s="124"/>
      <c r="AG10" s="128"/>
      <c r="AH10" s="16"/>
    </row>
    <row r="11" spans="1:34" ht="26.4">
      <c r="A11" s="115" t="s">
        <v>64</v>
      </c>
      <c r="B11" s="84">
        <f t="shared" si="0"/>
        <v>45786</v>
      </c>
      <c r="C11" s="83">
        <v>45786</v>
      </c>
      <c r="D11" s="52" t="s">
        <v>65</v>
      </c>
      <c r="E11" s="18" t="s">
        <v>66</v>
      </c>
      <c r="F11" s="100">
        <v>41012</v>
      </c>
      <c r="G11" s="116" t="s">
        <v>67</v>
      </c>
      <c r="H11" s="29" t="s">
        <v>68</v>
      </c>
      <c r="I11" s="30">
        <v>1</v>
      </c>
      <c r="J11" s="30">
        <v>1</v>
      </c>
      <c r="K11" s="30">
        <v>1</v>
      </c>
      <c r="L11" s="77">
        <v>1</v>
      </c>
      <c r="M11" s="77">
        <v>1</v>
      </c>
      <c r="N11" s="53"/>
      <c r="O11" s="53"/>
      <c r="P11" s="53"/>
      <c r="Q11" s="18"/>
      <c r="R11" s="18"/>
      <c r="S11" s="18"/>
      <c r="T11" s="18"/>
      <c r="U11" s="18"/>
      <c r="V11" s="18"/>
      <c r="W11" s="18"/>
      <c r="X11" s="28">
        <v>2</v>
      </c>
      <c r="Y11" s="18" t="s">
        <v>69</v>
      </c>
      <c r="Z11" s="18"/>
      <c r="AA11" s="93"/>
      <c r="AB11" s="28"/>
      <c r="AC11" s="28"/>
      <c r="AD11" s="28" t="s">
        <v>70</v>
      </c>
      <c r="AE11" s="93">
        <v>1</v>
      </c>
      <c r="AF11" s="18" t="s">
        <v>71</v>
      </c>
      <c r="AG11" s="110" t="s">
        <v>72</v>
      </c>
      <c r="AH11" s="16"/>
    </row>
    <row r="12" spans="1:34">
      <c r="A12" s="121"/>
      <c r="B12" s="84">
        <f t="shared" si="0"/>
        <v>45805</v>
      </c>
      <c r="C12" s="122">
        <v>45805</v>
      </c>
      <c r="D12" s="123">
        <v>0</v>
      </c>
      <c r="E12" s="123"/>
      <c r="F12" s="124"/>
      <c r="G12" s="70"/>
      <c r="H12" s="125"/>
      <c r="I12" s="125"/>
      <c r="J12" s="125"/>
      <c r="K12" s="125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6"/>
      <c r="Y12" s="124"/>
      <c r="Z12" s="124"/>
      <c r="AA12" s="127"/>
      <c r="AB12" s="124"/>
      <c r="AC12" s="124"/>
      <c r="AD12" s="124"/>
      <c r="AE12" s="124"/>
      <c r="AF12" s="124"/>
      <c r="AG12" s="128"/>
      <c r="AH12" s="16"/>
    </row>
    <row r="13" spans="1:34" ht="26.4">
      <c r="A13" s="115" t="s">
        <v>73</v>
      </c>
      <c r="B13" s="84">
        <f t="shared" si="0"/>
        <v>45805</v>
      </c>
      <c r="C13" s="83">
        <v>45805</v>
      </c>
      <c r="D13" s="52" t="s">
        <v>74</v>
      </c>
      <c r="E13" s="52" t="s">
        <v>75</v>
      </c>
      <c r="F13" s="86">
        <v>46893</v>
      </c>
      <c r="G13" s="87" t="s">
        <v>76</v>
      </c>
      <c r="H13" s="118" t="s">
        <v>77</v>
      </c>
      <c r="I13" s="118"/>
      <c r="J13" s="118"/>
      <c r="K13" s="118"/>
      <c r="L13" s="18"/>
      <c r="M13" s="18"/>
      <c r="N13" s="81" t="s">
        <v>78</v>
      </c>
      <c r="O13" s="18"/>
      <c r="P13" s="18"/>
      <c r="Q13" s="18"/>
      <c r="R13" s="18"/>
      <c r="S13" s="18"/>
      <c r="T13" s="18"/>
      <c r="U13" s="18"/>
      <c r="V13" s="18"/>
      <c r="W13" s="18"/>
      <c r="X13" s="28">
        <v>5</v>
      </c>
      <c r="Y13" s="18" t="s">
        <v>79</v>
      </c>
      <c r="Z13" s="74"/>
      <c r="AA13" s="131"/>
      <c r="AB13" s="109" t="s">
        <v>80</v>
      </c>
      <c r="AC13" s="109">
        <v>0.3</v>
      </c>
      <c r="AD13" s="74" t="s">
        <v>81</v>
      </c>
      <c r="AE13" s="109">
        <v>0.7</v>
      </c>
      <c r="AF13" s="18" t="s">
        <v>71</v>
      </c>
      <c r="AG13" s="130" t="s">
        <v>82</v>
      </c>
      <c r="AH13" s="16"/>
    </row>
    <row r="14" spans="1:34">
      <c r="A14" s="121"/>
      <c r="B14" s="84">
        <f t="shared" si="0"/>
        <v>45852</v>
      </c>
      <c r="C14" s="122">
        <v>45852</v>
      </c>
      <c r="D14" s="123">
        <v>0</v>
      </c>
      <c r="E14" s="124"/>
      <c r="F14" s="124"/>
      <c r="G14" s="70"/>
      <c r="H14" s="125"/>
      <c r="I14" s="125"/>
      <c r="J14" s="125"/>
      <c r="K14" s="125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6"/>
      <c r="Y14" s="124"/>
      <c r="Z14" s="124"/>
      <c r="AA14" s="127"/>
      <c r="AB14" s="124"/>
      <c r="AC14" s="124"/>
      <c r="AD14" s="124"/>
      <c r="AE14" s="124"/>
      <c r="AF14" s="124"/>
      <c r="AG14" s="128"/>
      <c r="AH14" s="16"/>
    </row>
    <row r="15" spans="1:34" ht="39.6">
      <c r="A15" s="51" t="s">
        <v>83</v>
      </c>
      <c r="B15" s="84">
        <f t="shared" si="0"/>
        <v>45852</v>
      </c>
      <c r="C15" s="129">
        <v>45852</v>
      </c>
      <c r="D15" s="52" t="s">
        <v>84</v>
      </c>
      <c r="E15" s="52" t="s">
        <v>85</v>
      </c>
      <c r="F15" s="100">
        <v>41322</v>
      </c>
      <c r="G15" s="116" t="s">
        <v>86</v>
      </c>
      <c r="H15" s="117" t="s">
        <v>87</v>
      </c>
      <c r="I15" s="117"/>
      <c r="J15" s="117"/>
      <c r="K15" s="117"/>
      <c r="L15" s="18"/>
      <c r="M15" s="18"/>
      <c r="N15" s="81">
        <v>1</v>
      </c>
      <c r="O15" s="18"/>
      <c r="P15" s="18"/>
      <c r="Q15" s="18"/>
      <c r="R15" s="18"/>
      <c r="S15" s="18"/>
      <c r="T15" s="18"/>
      <c r="U15" s="18"/>
      <c r="V15" s="18"/>
      <c r="W15" s="18"/>
      <c r="X15" s="28">
        <v>5</v>
      </c>
      <c r="Y15" s="28"/>
      <c r="Z15" s="18"/>
      <c r="AA15" s="93"/>
      <c r="AB15" s="28"/>
      <c r="AC15" s="28"/>
      <c r="AD15" s="28" t="s">
        <v>81</v>
      </c>
      <c r="AE15" s="93">
        <v>1</v>
      </c>
      <c r="AF15" s="52" t="s">
        <v>88</v>
      </c>
      <c r="AG15" s="130" t="s">
        <v>89</v>
      </c>
      <c r="AH15" s="16"/>
    </row>
    <row r="16" spans="1:34" s="4" customFormat="1" ht="26.4">
      <c r="A16" s="51" t="s">
        <v>83</v>
      </c>
      <c r="B16" s="84">
        <f t="shared" si="0"/>
        <v>45852</v>
      </c>
      <c r="C16" s="129">
        <v>45852</v>
      </c>
      <c r="D16" s="52" t="s">
        <v>90</v>
      </c>
      <c r="E16" s="52" t="s">
        <v>91</v>
      </c>
      <c r="F16" s="86">
        <v>44492</v>
      </c>
      <c r="G16" s="87" t="s">
        <v>92</v>
      </c>
      <c r="H16" s="117" t="s">
        <v>93</v>
      </c>
      <c r="I16" s="117"/>
      <c r="J16" s="117"/>
      <c r="K16" s="117"/>
      <c r="L16" s="18"/>
      <c r="M16" s="18"/>
      <c r="N16" s="81">
        <v>4</v>
      </c>
      <c r="O16" s="18"/>
      <c r="P16" s="18"/>
      <c r="Q16" s="18"/>
      <c r="R16" s="18"/>
      <c r="S16" s="18"/>
      <c r="T16" s="18"/>
      <c r="U16" s="18"/>
      <c r="V16" s="18"/>
      <c r="W16" s="18"/>
      <c r="X16" s="28">
        <v>2.5</v>
      </c>
      <c r="Y16" s="28"/>
      <c r="Z16" s="18" t="s">
        <v>94</v>
      </c>
      <c r="AA16" s="93">
        <v>0.16669999999999999</v>
      </c>
      <c r="AB16" s="28"/>
      <c r="AC16" s="28"/>
      <c r="AD16" s="28" t="s">
        <v>81</v>
      </c>
      <c r="AE16" s="93">
        <v>1</v>
      </c>
      <c r="AF16" s="18" t="s">
        <v>71</v>
      </c>
      <c r="AG16" s="130" t="s">
        <v>95</v>
      </c>
      <c r="AH16" s="16"/>
    </row>
    <row r="17" spans="1:34">
      <c r="A17" s="161"/>
      <c r="B17" s="84">
        <f t="shared" si="0"/>
        <v>45853</v>
      </c>
      <c r="C17" s="162">
        <v>45853</v>
      </c>
      <c r="D17" s="163">
        <v>0</v>
      </c>
      <c r="E17" s="163"/>
      <c r="F17" s="164"/>
      <c r="G17" s="69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5"/>
      <c r="Y17" s="165"/>
      <c r="Z17" s="164"/>
      <c r="AA17" s="166"/>
      <c r="AB17" s="165"/>
      <c r="AC17" s="165"/>
      <c r="AD17" s="164"/>
      <c r="AE17" s="165"/>
      <c r="AF17" s="164"/>
      <c r="AG17" s="167"/>
      <c r="AH17" s="16"/>
    </row>
    <row r="18" spans="1:34" ht="26.4">
      <c r="A18" s="51" t="s">
        <v>83</v>
      </c>
      <c r="B18" s="84">
        <f t="shared" si="0"/>
        <v>45853</v>
      </c>
      <c r="C18" s="129">
        <v>45853</v>
      </c>
      <c r="D18" s="52" t="s">
        <v>96</v>
      </c>
      <c r="E18" s="52" t="s">
        <v>75</v>
      </c>
      <c r="F18" s="100">
        <v>46869</v>
      </c>
      <c r="G18" s="116" t="s">
        <v>97</v>
      </c>
      <c r="H18" s="117" t="s">
        <v>98</v>
      </c>
      <c r="I18" s="55"/>
      <c r="J18" s="55"/>
      <c r="K18" s="55"/>
      <c r="L18" s="18"/>
      <c r="M18" s="18"/>
      <c r="N18" s="81" t="s">
        <v>99</v>
      </c>
      <c r="O18" s="18"/>
      <c r="P18" s="18"/>
      <c r="Q18" s="18"/>
      <c r="R18" s="18"/>
      <c r="S18" s="18"/>
      <c r="T18" s="18"/>
      <c r="U18" s="18"/>
      <c r="V18" s="18"/>
      <c r="W18" s="18"/>
      <c r="X18" s="28">
        <v>5</v>
      </c>
      <c r="Y18" s="28"/>
      <c r="Z18" s="18"/>
      <c r="AA18" s="93"/>
      <c r="AB18" s="18" t="s">
        <v>100</v>
      </c>
      <c r="AC18" s="93">
        <v>0.25</v>
      </c>
      <c r="AD18" s="28" t="s">
        <v>101</v>
      </c>
      <c r="AE18" s="93">
        <v>0.75</v>
      </c>
      <c r="AF18" s="52" t="s">
        <v>102</v>
      </c>
      <c r="AG18" s="118" t="s">
        <v>103</v>
      </c>
      <c r="AH18" s="16"/>
    </row>
    <row r="19" spans="1:34">
      <c r="A19" s="161"/>
      <c r="B19" s="84">
        <f t="shared" si="0"/>
        <v>45854</v>
      </c>
      <c r="C19" s="162">
        <v>45854</v>
      </c>
      <c r="D19" s="163">
        <v>0</v>
      </c>
      <c r="E19" s="163"/>
      <c r="F19" s="164"/>
      <c r="G19" s="69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5"/>
      <c r="Y19" s="165"/>
      <c r="Z19" s="164"/>
      <c r="AA19" s="166"/>
      <c r="AB19" s="165"/>
      <c r="AC19" s="165"/>
      <c r="AD19" s="164"/>
      <c r="AE19" s="165"/>
      <c r="AF19" s="164"/>
      <c r="AG19" s="167"/>
      <c r="AH19" s="16"/>
    </row>
    <row r="20" spans="1:34" ht="26.4">
      <c r="A20" s="51" t="s">
        <v>83</v>
      </c>
      <c r="B20" s="84">
        <f t="shared" si="0"/>
        <v>45854</v>
      </c>
      <c r="C20" s="129">
        <v>45854</v>
      </c>
      <c r="D20" s="52" t="s">
        <v>104</v>
      </c>
      <c r="E20" s="52" t="s">
        <v>105</v>
      </c>
      <c r="F20" s="100">
        <v>43332</v>
      </c>
      <c r="G20" s="116" t="s">
        <v>106</v>
      </c>
      <c r="H20" s="117" t="s">
        <v>107</v>
      </c>
      <c r="I20" s="117"/>
      <c r="J20" s="117"/>
      <c r="K20" s="117"/>
      <c r="L20" s="18"/>
      <c r="M20" s="18"/>
      <c r="N20" s="81">
        <v>3</v>
      </c>
      <c r="O20" s="18"/>
      <c r="P20" s="18"/>
      <c r="Q20" s="18"/>
      <c r="R20" s="18"/>
      <c r="S20" s="18"/>
      <c r="T20" s="18"/>
      <c r="U20" s="18"/>
      <c r="V20" s="18"/>
      <c r="W20" s="18"/>
      <c r="X20" s="28">
        <v>5</v>
      </c>
      <c r="Y20" s="28"/>
      <c r="Z20" s="18"/>
      <c r="AA20" s="93"/>
      <c r="AB20" s="28"/>
      <c r="AC20" s="28"/>
      <c r="AD20" s="18" t="s">
        <v>81</v>
      </c>
      <c r="AE20" s="93">
        <v>1</v>
      </c>
      <c r="AF20" s="18" t="s">
        <v>108</v>
      </c>
      <c r="AG20" s="130" t="s">
        <v>109</v>
      </c>
      <c r="AH20" s="16"/>
    </row>
    <row r="21" spans="1:34">
      <c r="A21" s="51" t="s">
        <v>83</v>
      </c>
      <c r="B21" s="84">
        <f t="shared" si="0"/>
        <v>45854</v>
      </c>
      <c r="C21" s="129">
        <v>45854</v>
      </c>
      <c r="D21" s="52" t="s">
        <v>110</v>
      </c>
      <c r="E21" s="52" t="s">
        <v>111</v>
      </c>
      <c r="F21" s="86">
        <v>47562</v>
      </c>
      <c r="G21" s="87" t="s">
        <v>112</v>
      </c>
      <c r="H21" s="117" t="s">
        <v>107</v>
      </c>
      <c r="I21" s="117"/>
      <c r="J21" s="117"/>
      <c r="K21" s="1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79" t="s">
        <v>113</v>
      </c>
      <c r="W21" s="18"/>
      <c r="X21" s="28">
        <v>5</v>
      </c>
      <c r="Y21" s="18"/>
      <c r="Z21" s="18"/>
      <c r="AA21" s="90"/>
      <c r="AB21" s="18" t="s">
        <v>114</v>
      </c>
      <c r="AC21" s="90">
        <v>0.5</v>
      </c>
      <c r="AD21" s="18" t="s">
        <v>115</v>
      </c>
      <c r="AE21" s="90">
        <v>0.5</v>
      </c>
      <c r="AF21" s="18" t="s">
        <v>116</v>
      </c>
      <c r="AG21" s="130" t="s">
        <v>117</v>
      </c>
      <c r="AH21" s="16"/>
    </row>
    <row r="22" spans="1:34" s="4" customFormat="1">
      <c r="A22" s="51" t="s">
        <v>83</v>
      </c>
      <c r="B22" s="84">
        <f t="shared" si="0"/>
        <v>45854</v>
      </c>
      <c r="C22" s="129">
        <v>45854</v>
      </c>
      <c r="D22" s="52" t="s">
        <v>74</v>
      </c>
      <c r="E22" s="52" t="s">
        <v>118</v>
      </c>
      <c r="F22" s="100">
        <v>46805</v>
      </c>
      <c r="G22" s="116" t="s">
        <v>119</v>
      </c>
      <c r="H22" s="117" t="s">
        <v>120</v>
      </c>
      <c r="I22" s="117"/>
      <c r="J22" s="117"/>
      <c r="K22" s="117"/>
      <c r="L22" s="18"/>
      <c r="M22" s="18"/>
      <c r="N22" s="81" t="s">
        <v>99</v>
      </c>
      <c r="O22" s="18"/>
      <c r="P22" s="18"/>
      <c r="Q22" s="18"/>
      <c r="R22" s="18"/>
      <c r="S22" s="18"/>
      <c r="T22" s="18"/>
      <c r="U22" s="18"/>
      <c r="V22" s="18"/>
      <c r="W22" s="18"/>
      <c r="X22" s="28">
        <v>5</v>
      </c>
      <c r="Y22" s="18"/>
      <c r="Z22" s="18"/>
      <c r="AA22" s="90"/>
      <c r="AB22" s="18"/>
      <c r="AC22" s="18"/>
      <c r="AD22" s="18" t="s">
        <v>81</v>
      </c>
      <c r="AE22" s="93">
        <v>1</v>
      </c>
      <c r="AF22" s="18" t="s">
        <v>121</v>
      </c>
      <c r="AG22" s="130" t="s">
        <v>122</v>
      </c>
      <c r="AH22" s="16"/>
    </row>
    <row r="23" spans="1:34" ht="14.4">
      <c r="A23" s="51" t="s">
        <v>83</v>
      </c>
      <c r="B23" s="84">
        <f t="shared" si="0"/>
        <v>45854</v>
      </c>
      <c r="C23" s="129">
        <v>45854</v>
      </c>
      <c r="D23" s="52" t="s">
        <v>123</v>
      </c>
      <c r="E23" s="52" t="s">
        <v>118</v>
      </c>
      <c r="F23" s="100">
        <v>46842</v>
      </c>
      <c r="G23" s="116" t="s">
        <v>124</v>
      </c>
      <c r="H23" s="117" t="s">
        <v>122</v>
      </c>
      <c r="I23" s="117"/>
      <c r="J23" s="117"/>
      <c r="K23" s="117"/>
      <c r="L23" s="18"/>
      <c r="M23" s="18"/>
      <c r="N23" s="81" t="s">
        <v>99</v>
      </c>
      <c r="O23" s="18"/>
      <c r="P23" s="18"/>
      <c r="Q23" s="18"/>
      <c r="R23" s="18"/>
      <c r="S23" s="18"/>
      <c r="T23" s="18"/>
      <c r="U23" s="18"/>
      <c r="V23" s="18"/>
      <c r="W23" s="18"/>
      <c r="X23" s="28">
        <v>5</v>
      </c>
      <c r="Y23" s="289"/>
      <c r="Z23" s="18"/>
      <c r="AA23" s="93"/>
      <c r="AB23" s="28"/>
      <c r="AC23" s="28"/>
      <c r="AD23" s="18" t="s">
        <v>81</v>
      </c>
      <c r="AE23" s="93">
        <v>1</v>
      </c>
      <c r="AF23" s="3" t="s">
        <v>121</v>
      </c>
      <c r="AG23" s="130" t="s">
        <v>120</v>
      </c>
      <c r="AH23" s="16"/>
    </row>
    <row r="24" spans="1:34">
      <c r="A24" s="161"/>
      <c r="B24" s="84">
        <f t="shared" si="0"/>
        <v>45855</v>
      </c>
      <c r="C24" s="162">
        <v>45855</v>
      </c>
      <c r="D24" s="163">
        <v>0</v>
      </c>
      <c r="E24" s="163"/>
      <c r="F24" s="164"/>
      <c r="G24" s="69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5"/>
      <c r="Y24" s="165"/>
      <c r="Z24" s="164"/>
      <c r="AA24" s="166"/>
      <c r="AB24" s="165"/>
      <c r="AC24" s="165"/>
      <c r="AD24" s="164"/>
      <c r="AE24" s="165"/>
      <c r="AF24" s="164"/>
      <c r="AG24" s="167"/>
      <c r="AH24" s="16"/>
    </row>
    <row r="25" spans="1:34" ht="26.4">
      <c r="A25" s="51" t="s">
        <v>83</v>
      </c>
      <c r="B25" s="84">
        <f t="shared" si="0"/>
        <v>45855</v>
      </c>
      <c r="C25" s="129">
        <v>45855</v>
      </c>
      <c r="D25" s="52" t="s">
        <v>125</v>
      </c>
      <c r="E25" s="52" t="s">
        <v>126</v>
      </c>
      <c r="F25" s="86">
        <v>46811</v>
      </c>
      <c r="G25" s="87" t="s">
        <v>127</v>
      </c>
      <c r="H25" s="117" t="s">
        <v>128</v>
      </c>
      <c r="I25" s="117"/>
      <c r="J25" s="117"/>
      <c r="K25" s="117"/>
      <c r="L25" s="18"/>
      <c r="M25" s="18"/>
      <c r="N25" s="81" t="s">
        <v>99</v>
      </c>
      <c r="O25" s="18"/>
      <c r="P25" s="18"/>
      <c r="Q25" s="18"/>
      <c r="R25" s="18"/>
      <c r="S25" s="18"/>
      <c r="T25" s="18"/>
      <c r="U25" s="18"/>
      <c r="V25" s="18"/>
      <c r="W25" s="18"/>
      <c r="X25" s="28">
        <v>5</v>
      </c>
      <c r="Y25" s="28"/>
      <c r="Z25" s="18"/>
      <c r="AA25" s="93"/>
      <c r="AB25" s="28"/>
      <c r="AC25" s="28"/>
      <c r="AD25" s="28" t="s">
        <v>115</v>
      </c>
      <c r="AE25" s="93">
        <v>1</v>
      </c>
      <c r="AF25" s="18" t="s">
        <v>129</v>
      </c>
      <c r="AG25" s="130" t="s">
        <v>130</v>
      </c>
      <c r="AH25" s="16"/>
    </row>
    <row r="26" spans="1:34">
      <c r="A26" s="161"/>
      <c r="B26" s="84">
        <f t="shared" si="0"/>
        <v>45856</v>
      </c>
      <c r="C26" s="162">
        <v>45856</v>
      </c>
      <c r="D26" s="163">
        <v>0</v>
      </c>
      <c r="E26" s="69"/>
      <c r="F26" s="164"/>
      <c r="G26" s="69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5"/>
      <c r="Y26" s="165"/>
      <c r="Z26" s="164"/>
      <c r="AA26" s="166"/>
      <c r="AB26" s="165"/>
      <c r="AC26" s="165"/>
      <c r="AD26" s="164"/>
      <c r="AE26" s="165"/>
      <c r="AF26" s="164"/>
      <c r="AG26" s="167"/>
      <c r="AH26" s="16"/>
    </row>
    <row r="27" spans="1:34" s="4" customFormat="1">
      <c r="A27" s="51" t="s">
        <v>83</v>
      </c>
      <c r="B27" s="84">
        <f t="shared" si="0"/>
        <v>45856</v>
      </c>
      <c r="C27" s="129">
        <v>45856</v>
      </c>
      <c r="D27" s="52" t="s">
        <v>131</v>
      </c>
      <c r="E27" s="52" t="s">
        <v>132</v>
      </c>
      <c r="F27" s="104">
        <v>46903</v>
      </c>
      <c r="G27" s="114" t="s">
        <v>133</v>
      </c>
      <c r="H27" s="117" t="s">
        <v>120</v>
      </c>
      <c r="I27" s="117"/>
      <c r="J27" s="117"/>
      <c r="K27" s="117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79" t="s">
        <v>99</v>
      </c>
      <c r="W27" s="18"/>
      <c r="X27" s="28">
        <v>5</v>
      </c>
      <c r="Y27" s="75"/>
      <c r="Z27" s="18"/>
      <c r="AA27" s="93"/>
      <c r="AB27" s="18" t="s">
        <v>134</v>
      </c>
      <c r="AC27" s="93">
        <v>0.3</v>
      </c>
      <c r="AD27" s="18" t="s">
        <v>81</v>
      </c>
      <c r="AE27" s="93">
        <v>0.7</v>
      </c>
      <c r="AF27" s="18" t="s">
        <v>135</v>
      </c>
      <c r="AG27" s="130" t="s">
        <v>98</v>
      </c>
      <c r="AH27" s="16"/>
    </row>
    <row r="28" spans="1:34">
      <c r="A28" s="121"/>
      <c r="B28" s="84">
        <f t="shared" si="0"/>
        <v>45859</v>
      </c>
      <c r="C28" s="122">
        <v>45859</v>
      </c>
      <c r="D28" s="123">
        <v>0</v>
      </c>
      <c r="E28" s="123"/>
      <c r="F28" s="124"/>
      <c r="G28" s="70"/>
      <c r="H28" s="125"/>
      <c r="I28" s="125"/>
      <c r="J28" s="125"/>
      <c r="K28" s="125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6"/>
      <c r="Y28" s="124"/>
      <c r="Z28" s="124"/>
      <c r="AA28" s="127"/>
      <c r="AB28" s="124"/>
      <c r="AC28" s="124"/>
      <c r="AD28" s="124"/>
      <c r="AE28" s="124"/>
      <c r="AF28" s="124"/>
      <c r="AG28" s="128"/>
      <c r="AH28" s="16"/>
    </row>
    <row r="29" spans="1:34" s="4" customFormat="1" ht="66">
      <c r="A29" s="51" t="s">
        <v>83</v>
      </c>
      <c r="B29" s="84">
        <f t="shared" si="0"/>
        <v>45859</v>
      </c>
      <c r="C29" s="129">
        <v>45859</v>
      </c>
      <c r="D29" s="52" t="s">
        <v>136</v>
      </c>
      <c r="E29" s="52" t="s">
        <v>137</v>
      </c>
      <c r="F29" s="100">
        <v>46831</v>
      </c>
      <c r="G29" s="116" t="s">
        <v>138</v>
      </c>
      <c r="H29" s="117" t="s">
        <v>139</v>
      </c>
      <c r="I29" s="117"/>
      <c r="J29" s="117"/>
      <c r="K29" s="117"/>
      <c r="L29" s="18"/>
      <c r="M29" s="18"/>
      <c r="N29" s="81" t="s">
        <v>99</v>
      </c>
      <c r="O29" s="18"/>
      <c r="P29" s="18"/>
      <c r="Q29" s="18"/>
      <c r="R29" s="18"/>
      <c r="S29" s="18"/>
      <c r="T29" s="18"/>
      <c r="U29" s="18"/>
      <c r="V29" s="18"/>
      <c r="W29" s="18"/>
      <c r="X29" s="28">
        <v>5</v>
      </c>
      <c r="Y29" s="28"/>
      <c r="Z29" s="18"/>
      <c r="AA29" s="93"/>
      <c r="AB29" s="28"/>
      <c r="AC29" s="28"/>
      <c r="AD29" s="18" t="s">
        <v>81</v>
      </c>
      <c r="AE29" s="93">
        <v>1</v>
      </c>
      <c r="AF29" s="18" t="s">
        <v>135</v>
      </c>
      <c r="AG29" s="130" t="s">
        <v>140</v>
      </c>
      <c r="AH29" s="16"/>
    </row>
    <row r="30" spans="1:34" s="4" customFormat="1" ht="52.8">
      <c r="A30" s="115" t="s">
        <v>64</v>
      </c>
      <c r="B30" s="84">
        <f t="shared" si="0"/>
        <v>45859</v>
      </c>
      <c r="C30" s="83">
        <v>45859</v>
      </c>
      <c r="D30" s="52" t="s">
        <v>65</v>
      </c>
      <c r="E30" s="18" t="s">
        <v>141</v>
      </c>
      <c r="F30" s="100">
        <v>41012</v>
      </c>
      <c r="G30" s="116" t="s">
        <v>142</v>
      </c>
      <c r="H30" s="29" t="s">
        <v>68</v>
      </c>
      <c r="I30" s="30">
        <v>1</v>
      </c>
      <c r="J30" s="30">
        <v>1</v>
      </c>
      <c r="K30" s="30">
        <v>1</v>
      </c>
      <c r="L30" s="77">
        <v>1</v>
      </c>
      <c r="M30" s="77">
        <v>1</v>
      </c>
      <c r="N30" s="53"/>
      <c r="O30" s="53"/>
      <c r="P30" s="53"/>
      <c r="Q30" s="18"/>
      <c r="R30" s="18"/>
      <c r="S30" s="18"/>
      <c r="T30" s="18"/>
      <c r="U30" s="18"/>
      <c r="V30" s="18"/>
      <c r="W30" s="18"/>
      <c r="X30" s="28">
        <v>2</v>
      </c>
      <c r="Y30" s="18" t="s">
        <v>69</v>
      </c>
      <c r="Z30" s="18"/>
      <c r="AA30" s="93"/>
      <c r="AB30" s="28"/>
      <c r="AC30" s="28"/>
      <c r="AD30" s="28" t="s">
        <v>70</v>
      </c>
      <c r="AE30" s="93">
        <v>1</v>
      </c>
      <c r="AF30" s="18" t="s">
        <v>71</v>
      </c>
      <c r="AG30" s="110" t="s">
        <v>72</v>
      </c>
      <c r="AH30" s="16"/>
    </row>
    <row r="31" spans="1:34" s="4" customFormat="1">
      <c r="A31" s="51" t="s">
        <v>83</v>
      </c>
      <c r="B31" s="84">
        <f t="shared" si="0"/>
        <v>45859</v>
      </c>
      <c r="C31" s="83">
        <v>45859</v>
      </c>
      <c r="D31" s="52" t="s">
        <v>143</v>
      </c>
      <c r="E31" s="52" t="s">
        <v>144</v>
      </c>
      <c r="F31" s="100">
        <v>41065</v>
      </c>
      <c r="G31" s="101" t="s">
        <v>145</v>
      </c>
      <c r="H31" s="29" t="s">
        <v>146</v>
      </c>
      <c r="I31" s="29"/>
      <c r="J31" s="29"/>
      <c r="K31" s="29"/>
      <c r="L31" s="18"/>
      <c r="M31" s="18"/>
      <c r="N31" s="18"/>
      <c r="O31" s="160">
        <v>1</v>
      </c>
      <c r="P31" s="160">
        <v>1</v>
      </c>
      <c r="Q31" s="18"/>
      <c r="R31" s="18"/>
      <c r="S31" s="18"/>
      <c r="T31" s="18"/>
      <c r="U31" s="18"/>
      <c r="V31" s="18"/>
      <c r="W31" s="18"/>
      <c r="X31" s="28">
        <v>5</v>
      </c>
      <c r="Y31" s="28"/>
      <c r="Z31" s="18"/>
      <c r="AA31" s="93"/>
      <c r="AB31" s="28"/>
      <c r="AC31" s="28"/>
      <c r="AD31" s="18" t="s">
        <v>115</v>
      </c>
      <c r="AE31" s="93">
        <v>1</v>
      </c>
      <c r="AF31" s="18" t="s">
        <v>147</v>
      </c>
      <c r="AG31" s="110" t="s">
        <v>148</v>
      </c>
      <c r="AH31" s="16"/>
    </row>
    <row r="32" spans="1:34" s="4" customFormat="1">
      <c r="A32" s="51" t="s">
        <v>83</v>
      </c>
      <c r="B32" s="84">
        <f t="shared" si="0"/>
        <v>45859</v>
      </c>
      <c r="C32" s="83">
        <v>45859</v>
      </c>
      <c r="D32" s="52" t="s">
        <v>143</v>
      </c>
      <c r="E32" s="52" t="s">
        <v>144</v>
      </c>
      <c r="F32" s="100">
        <v>46800</v>
      </c>
      <c r="G32" s="101" t="s">
        <v>149</v>
      </c>
      <c r="H32" s="29" t="s">
        <v>146</v>
      </c>
      <c r="I32" s="29"/>
      <c r="J32" s="29"/>
      <c r="K32" s="29"/>
      <c r="L32" s="18"/>
      <c r="M32" s="18"/>
      <c r="N32" s="18"/>
      <c r="O32" s="18"/>
      <c r="P32" s="18"/>
      <c r="Q32" s="18"/>
      <c r="R32" s="18"/>
      <c r="S32" s="78" t="s">
        <v>150</v>
      </c>
      <c r="T32" s="78" t="s">
        <v>150</v>
      </c>
      <c r="U32" s="80" t="s">
        <v>99</v>
      </c>
      <c r="V32" s="18"/>
      <c r="W32" s="18"/>
      <c r="X32" s="28">
        <v>5</v>
      </c>
      <c r="Y32" s="28"/>
      <c r="Z32" s="18"/>
      <c r="AA32" s="93"/>
      <c r="AB32" s="28"/>
      <c r="AC32" s="28"/>
      <c r="AD32" s="18" t="s">
        <v>115</v>
      </c>
      <c r="AE32" s="93">
        <v>1</v>
      </c>
      <c r="AF32" s="18" t="s">
        <v>147</v>
      </c>
      <c r="AG32" s="110" t="s">
        <v>151</v>
      </c>
      <c r="AH32" s="16"/>
    </row>
    <row r="33" spans="1:34" s="4" customFormat="1" ht="26.4">
      <c r="A33" s="51" t="s">
        <v>83</v>
      </c>
      <c r="B33" s="84">
        <f t="shared" si="0"/>
        <v>45859</v>
      </c>
      <c r="C33" s="129">
        <v>45859</v>
      </c>
      <c r="D33" s="52" t="s">
        <v>152</v>
      </c>
      <c r="E33" s="52" t="s">
        <v>153</v>
      </c>
      <c r="F33" s="100">
        <v>41321</v>
      </c>
      <c r="G33" s="116" t="s">
        <v>154</v>
      </c>
      <c r="H33" s="55" t="s">
        <v>140</v>
      </c>
      <c r="I33" s="55"/>
      <c r="J33" s="55"/>
      <c r="K33" s="55"/>
      <c r="L33" s="18"/>
      <c r="M33" s="18"/>
      <c r="N33" s="81">
        <v>1</v>
      </c>
      <c r="O33" s="18"/>
      <c r="P33" s="18"/>
      <c r="Q33" s="18"/>
      <c r="R33" s="18"/>
      <c r="S33" s="18"/>
      <c r="T33" s="18"/>
      <c r="U33" s="18"/>
      <c r="V33" s="18"/>
      <c r="W33" s="18"/>
      <c r="X33" s="28">
        <v>5</v>
      </c>
      <c r="Y33" s="18"/>
      <c r="Z33" s="18"/>
      <c r="AA33" s="18"/>
      <c r="AB33" s="28"/>
      <c r="AC33" s="28"/>
      <c r="AD33" s="28" t="s">
        <v>81</v>
      </c>
      <c r="AE33" s="93">
        <v>1</v>
      </c>
      <c r="AF33" s="52" t="s">
        <v>155</v>
      </c>
      <c r="AG33" s="130" t="s">
        <v>156</v>
      </c>
      <c r="AH33" s="16"/>
    </row>
    <row r="34" spans="1:34">
      <c r="A34" s="51" t="s">
        <v>83</v>
      </c>
      <c r="B34" s="84">
        <f t="shared" si="0"/>
        <v>45859</v>
      </c>
      <c r="C34" s="129">
        <v>45859</v>
      </c>
      <c r="D34" s="52" t="s">
        <v>162</v>
      </c>
      <c r="E34" s="52" t="s">
        <v>163</v>
      </c>
      <c r="F34" s="100">
        <v>46803</v>
      </c>
      <c r="G34" s="116" t="s">
        <v>164</v>
      </c>
      <c r="H34" s="117" t="s">
        <v>165</v>
      </c>
      <c r="I34" s="117"/>
      <c r="J34" s="117"/>
      <c r="K34" s="117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79" t="s">
        <v>99</v>
      </c>
      <c r="W34" s="18"/>
      <c r="X34" s="28">
        <v>5</v>
      </c>
      <c r="Y34" s="28"/>
      <c r="Z34" s="18"/>
      <c r="AA34" s="93"/>
      <c r="AB34" s="75" t="s">
        <v>12</v>
      </c>
      <c r="AC34" s="75"/>
      <c r="AD34" s="18" t="s">
        <v>81</v>
      </c>
      <c r="AE34" s="93">
        <v>1</v>
      </c>
      <c r="AF34" s="18" t="s">
        <v>166</v>
      </c>
      <c r="AG34" s="130" t="s">
        <v>167</v>
      </c>
      <c r="AH34" s="16"/>
    </row>
    <row r="35" spans="1:34">
      <c r="A35" s="161"/>
      <c r="B35" s="84">
        <f t="shared" si="0"/>
        <v>45860</v>
      </c>
      <c r="C35" s="162">
        <v>45860</v>
      </c>
      <c r="D35" s="163">
        <v>0</v>
      </c>
      <c r="E35" s="163"/>
      <c r="F35" s="164"/>
      <c r="G35" s="69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5"/>
      <c r="Y35" s="165"/>
      <c r="Z35" s="164"/>
      <c r="AA35" s="166"/>
      <c r="AB35" s="165"/>
      <c r="AC35" s="165"/>
      <c r="AD35" s="164"/>
      <c r="AE35" s="165"/>
      <c r="AF35" s="164"/>
      <c r="AG35" s="167"/>
      <c r="AH35" s="287"/>
    </row>
    <row r="36" spans="1:34">
      <c r="A36" s="51" t="s">
        <v>83</v>
      </c>
      <c r="B36" s="84">
        <f t="shared" si="0"/>
        <v>45860</v>
      </c>
      <c r="C36" s="129">
        <v>45860</v>
      </c>
      <c r="D36" s="52" t="s">
        <v>136</v>
      </c>
      <c r="E36" s="52" t="s">
        <v>168</v>
      </c>
      <c r="F36" s="100">
        <v>46894</v>
      </c>
      <c r="G36" s="116" t="s">
        <v>169</v>
      </c>
      <c r="H36" s="117" t="s">
        <v>170</v>
      </c>
      <c r="I36" s="117"/>
      <c r="J36" s="117"/>
      <c r="K36" s="117"/>
      <c r="L36" s="18"/>
      <c r="M36" s="18"/>
      <c r="N36" s="81">
        <v>3</v>
      </c>
      <c r="O36" s="18"/>
      <c r="P36" s="18"/>
      <c r="Q36" s="18"/>
      <c r="R36" s="18"/>
      <c r="S36" s="18"/>
      <c r="T36" s="18"/>
      <c r="U36" s="18"/>
      <c r="V36" s="18"/>
      <c r="W36" s="18"/>
      <c r="X36" s="28">
        <v>5</v>
      </c>
      <c r="Y36" s="28"/>
      <c r="Z36" s="18" t="s">
        <v>171</v>
      </c>
      <c r="AA36" s="93">
        <v>0.16669999999999999</v>
      </c>
      <c r="AB36" s="28"/>
      <c r="AC36" s="28"/>
      <c r="AD36" s="28" t="s">
        <v>81</v>
      </c>
      <c r="AE36" s="93">
        <v>1</v>
      </c>
      <c r="AF36" s="18" t="s">
        <v>71</v>
      </c>
      <c r="AG36" s="130" t="s">
        <v>172</v>
      </c>
      <c r="AH36" s="16"/>
    </row>
    <row r="37" spans="1:34" ht="26.4">
      <c r="A37" s="51" t="s">
        <v>83</v>
      </c>
      <c r="B37" s="84">
        <f t="shared" si="0"/>
        <v>45860</v>
      </c>
      <c r="C37" s="129">
        <v>45860</v>
      </c>
      <c r="D37" s="261" t="s">
        <v>173</v>
      </c>
      <c r="E37" s="52" t="s">
        <v>174</v>
      </c>
      <c r="F37" s="86">
        <v>46839</v>
      </c>
      <c r="G37" s="87" t="s">
        <v>175</v>
      </c>
      <c r="H37" s="29" t="s">
        <v>148</v>
      </c>
      <c r="I37" s="29"/>
      <c r="J37" s="29"/>
      <c r="K37" s="29"/>
      <c r="L37" s="18"/>
      <c r="M37" s="18"/>
      <c r="N37" s="18"/>
      <c r="O37" s="18"/>
      <c r="P37" s="18"/>
      <c r="Q37" s="18"/>
      <c r="R37" s="18"/>
      <c r="S37" s="78" t="s">
        <v>150</v>
      </c>
      <c r="T37" s="78" t="s">
        <v>150</v>
      </c>
      <c r="U37" s="80" t="s">
        <v>99</v>
      </c>
      <c r="V37" s="79" t="s">
        <v>99</v>
      </c>
      <c r="W37" s="18"/>
      <c r="X37" s="28">
        <v>5</v>
      </c>
      <c r="Y37" s="28"/>
      <c r="Z37" s="18"/>
      <c r="AA37" s="93"/>
      <c r="AB37" s="28" t="s">
        <v>176</v>
      </c>
      <c r="AC37" s="93">
        <v>0.3</v>
      </c>
      <c r="AD37" s="18" t="s">
        <v>177</v>
      </c>
      <c r="AE37" s="90">
        <v>0.7</v>
      </c>
      <c r="AF37" s="18" t="s">
        <v>178</v>
      </c>
      <c r="AG37" s="94" t="s">
        <v>151</v>
      </c>
      <c r="AH37" s="54"/>
    </row>
    <row r="38" spans="1:34" ht="39.6">
      <c r="A38" s="51" t="s">
        <v>83</v>
      </c>
      <c r="B38" s="84">
        <f t="shared" si="0"/>
        <v>45860</v>
      </c>
      <c r="C38" s="83">
        <v>45860</v>
      </c>
      <c r="D38" s="261" t="s">
        <v>131</v>
      </c>
      <c r="E38" s="52" t="s">
        <v>179</v>
      </c>
      <c r="F38" s="100">
        <v>43022</v>
      </c>
      <c r="G38" s="101" t="s">
        <v>180</v>
      </c>
      <c r="H38" s="29" t="s">
        <v>181</v>
      </c>
      <c r="I38" s="30">
        <v>3</v>
      </c>
      <c r="J38" s="18"/>
      <c r="K38" s="18"/>
      <c r="L38" s="77">
        <v>3</v>
      </c>
      <c r="M38" s="77">
        <v>3</v>
      </c>
      <c r="N38" s="18"/>
      <c r="O38" s="88" t="s">
        <v>182</v>
      </c>
      <c r="P38" s="88" t="s">
        <v>182</v>
      </c>
      <c r="Q38" s="31">
        <v>5</v>
      </c>
      <c r="R38" s="18"/>
      <c r="S38" s="18"/>
      <c r="T38" s="18"/>
      <c r="U38" s="18"/>
      <c r="V38" s="18"/>
      <c r="W38" s="18"/>
      <c r="X38" s="28">
        <v>5</v>
      </c>
      <c r="Y38" s="28"/>
      <c r="Z38" s="18"/>
      <c r="AA38" s="93"/>
      <c r="AB38" s="28"/>
      <c r="AC38" s="28"/>
      <c r="AD38" s="18" t="s">
        <v>81</v>
      </c>
      <c r="AE38" s="93">
        <v>1</v>
      </c>
      <c r="AF38" s="18" t="s">
        <v>71</v>
      </c>
      <c r="AG38" s="110" t="s">
        <v>183</v>
      </c>
      <c r="AH38" s="16"/>
    </row>
    <row r="39" spans="1:34" s="4" customFormat="1" ht="26.4">
      <c r="A39" s="51" t="s">
        <v>83</v>
      </c>
      <c r="B39" s="84">
        <f t="shared" si="0"/>
        <v>45860</v>
      </c>
      <c r="C39" s="83">
        <v>45860</v>
      </c>
      <c r="D39" s="261" t="s">
        <v>157</v>
      </c>
      <c r="E39" s="52" t="s">
        <v>144</v>
      </c>
      <c r="F39" s="100">
        <v>43211</v>
      </c>
      <c r="G39" s="101" t="s">
        <v>184</v>
      </c>
      <c r="H39" s="18" t="s">
        <v>185</v>
      </c>
      <c r="I39" s="18"/>
      <c r="J39" s="30">
        <v>3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28">
        <v>5</v>
      </c>
      <c r="Y39" s="28"/>
      <c r="Z39" s="65" t="s">
        <v>186</v>
      </c>
      <c r="AA39" s="103">
        <v>0.15</v>
      </c>
      <c r="AB39" s="75"/>
      <c r="AC39" s="75"/>
      <c r="AD39" s="75" t="s">
        <v>115</v>
      </c>
      <c r="AE39" s="103">
        <v>1</v>
      </c>
      <c r="AF39" s="85" t="s">
        <v>187</v>
      </c>
      <c r="AG39" s="110" t="s">
        <v>188</v>
      </c>
      <c r="AH39" s="16"/>
    </row>
    <row r="40" spans="1:34">
      <c r="A40" s="161"/>
      <c r="B40" s="84">
        <f t="shared" si="0"/>
        <v>45861</v>
      </c>
      <c r="C40" s="162">
        <v>45861</v>
      </c>
      <c r="D40" s="163">
        <v>0</v>
      </c>
      <c r="E40" s="163"/>
      <c r="F40" s="164"/>
      <c r="G40" s="69" t="s">
        <v>12</v>
      </c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5"/>
      <c r="Y40" s="165"/>
      <c r="Z40" s="164"/>
      <c r="AA40" s="166"/>
      <c r="AB40" s="165"/>
      <c r="AC40" s="165"/>
      <c r="AD40" s="164"/>
      <c r="AE40" s="165"/>
      <c r="AF40" s="164"/>
      <c r="AG40" s="167"/>
      <c r="AH40" s="16"/>
    </row>
    <row r="41" spans="1:34">
      <c r="A41" s="51" t="s">
        <v>83</v>
      </c>
      <c r="B41" s="84">
        <f t="shared" si="0"/>
        <v>45861</v>
      </c>
      <c r="C41" s="83">
        <v>45861</v>
      </c>
      <c r="D41" s="261" t="s">
        <v>189</v>
      </c>
      <c r="E41" s="52" t="s">
        <v>190</v>
      </c>
      <c r="F41" s="100">
        <v>42412</v>
      </c>
      <c r="G41" s="101" t="s">
        <v>191</v>
      </c>
      <c r="H41" s="29" t="s">
        <v>161</v>
      </c>
      <c r="I41" s="29"/>
      <c r="J41" s="29"/>
      <c r="K41" s="29"/>
      <c r="L41" s="77">
        <v>1</v>
      </c>
      <c r="M41" s="77">
        <v>1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>
        <v>5</v>
      </c>
      <c r="Y41" s="28"/>
      <c r="Z41" s="18"/>
      <c r="AA41" s="93"/>
      <c r="AB41" s="28" t="s">
        <v>12</v>
      </c>
      <c r="AC41" s="28"/>
      <c r="AD41" s="18" t="s">
        <v>81</v>
      </c>
      <c r="AE41" s="93">
        <v>1</v>
      </c>
      <c r="AF41" s="18" t="s">
        <v>71</v>
      </c>
      <c r="AG41" s="72" t="s">
        <v>192</v>
      </c>
      <c r="AH41" s="16"/>
    </row>
    <row r="42" spans="1:34" ht="66">
      <c r="A42" s="51" t="s">
        <v>83</v>
      </c>
      <c r="B42" s="84">
        <f t="shared" ref="B42:B73" si="1">IF(C42="","",C42)</f>
        <v>45861</v>
      </c>
      <c r="C42" s="129">
        <v>45861</v>
      </c>
      <c r="D42" s="52" t="s">
        <v>104</v>
      </c>
      <c r="E42" s="52" t="s">
        <v>193</v>
      </c>
      <c r="F42" s="86">
        <v>43343</v>
      </c>
      <c r="G42" s="87" t="s">
        <v>194</v>
      </c>
      <c r="H42" s="117" t="s">
        <v>195</v>
      </c>
      <c r="I42" s="55"/>
      <c r="J42" s="55"/>
      <c r="K42" s="55"/>
      <c r="L42" s="18"/>
      <c r="M42" s="18"/>
      <c r="N42" s="81">
        <v>2</v>
      </c>
      <c r="O42" s="18"/>
      <c r="P42" s="18"/>
      <c r="Q42" s="18"/>
      <c r="R42" s="18"/>
      <c r="S42" s="18"/>
      <c r="T42" s="18"/>
      <c r="U42" s="18"/>
      <c r="V42" s="18"/>
      <c r="W42" s="18"/>
      <c r="X42" s="28">
        <v>5</v>
      </c>
      <c r="Y42" s="28"/>
      <c r="Z42" s="18"/>
      <c r="AA42" s="93"/>
      <c r="AB42" s="28"/>
      <c r="AC42" s="28"/>
      <c r="AD42" s="28" t="s">
        <v>81</v>
      </c>
      <c r="AE42" s="93">
        <v>1</v>
      </c>
      <c r="AF42" s="18" t="s">
        <v>196</v>
      </c>
      <c r="AG42" s="168" t="s">
        <v>197</v>
      </c>
      <c r="AH42" s="16"/>
    </row>
    <row r="43" spans="1:34">
      <c r="A43" s="51" t="s">
        <v>83</v>
      </c>
      <c r="B43" s="84">
        <f t="shared" si="1"/>
        <v>45861</v>
      </c>
      <c r="C43" s="129">
        <v>45861</v>
      </c>
      <c r="D43" s="52" t="s">
        <v>104</v>
      </c>
      <c r="E43" s="52" t="s">
        <v>198</v>
      </c>
      <c r="F43" s="100">
        <v>46902</v>
      </c>
      <c r="G43" s="116" t="s">
        <v>199</v>
      </c>
      <c r="H43" s="117" t="s">
        <v>200</v>
      </c>
      <c r="I43" s="117"/>
      <c r="J43" s="117"/>
      <c r="K43" s="117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79" t="s">
        <v>113</v>
      </c>
      <c r="W43" s="18"/>
      <c r="X43" s="28">
        <v>5</v>
      </c>
      <c r="Y43" s="18"/>
      <c r="Z43" s="18"/>
      <c r="AA43" s="90"/>
      <c r="AB43" s="18" t="s">
        <v>201</v>
      </c>
      <c r="AC43" s="93">
        <v>0.5</v>
      </c>
      <c r="AD43" s="18" t="s">
        <v>81</v>
      </c>
      <c r="AE43" s="93">
        <v>0.5</v>
      </c>
      <c r="AF43" s="18" t="s">
        <v>88</v>
      </c>
      <c r="AG43" s="89" t="s">
        <v>202</v>
      </c>
      <c r="AH43" s="16"/>
    </row>
    <row r="44" spans="1:34" ht="26.4">
      <c r="A44" s="51" t="s">
        <v>83</v>
      </c>
      <c r="B44" s="84">
        <f t="shared" si="1"/>
        <v>45861</v>
      </c>
      <c r="C44" s="83">
        <v>45861</v>
      </c>
      <c r="D44" s="52" t="s">
        <v>152</v>
      </c>
      <c r="E44" s="52" t="s">
        <v>144</v>
      </c>
      <c r="F44" s="100">
        <v>45261</v>
      </c>
      <c r="G44" s="101" t="s">
        <v>203</v>
      </c>
      <c r="H44" s="52" t="s">
        <v>204</v>
      </c>
      <c r="I44" s="18"/>
      <c r="J44" s="18"/>
      <c r="K44" s="18"/>
      <c r="L44" s="18"/>
      <c r="M44" s="18"/>
      <c r="N44" s="18"/>
      <c r="O44" s="88">
        <v>3</v>
      </c>
      <c r="P44" s="88" t="s">
        <v>182</v>
      </c>
      <c r="Q44" s="18"/>
      <c r="R44" s="18"/>
      <c r="S44" s="18"/>
      <c r="T44" s="18"/>
      <c r="U44" s="18"/>
      <c r="V44" s="18"/>
      <c r="W44" s="18"/>
      <c r="X44" s="28">
        <v>5</v>
      </c>
      <c r="Y44" s="28"/>
      <c r="Z44" s="18" t="s">
        <v>205</v>
      </c>
      <c r="AA44" s="93">
        <v>0.15</v>
      </c>
      <c r="AB44" s="28"/>
      <c r="AC44" s="28"/>
      <c r="AD44" s="18" t="s">
        <v>81</v>
      </c>
      <c r="AE44" s="93">
        <v>1</v>
      </c>
      <c r="AF44" s="18" t="s">
        <v>71</v>
      </c>
      <c r="AG44" s="110" t="s">
        <v>181</v>
      </c>
      <c r="AH44" s="16"/>
    </row>
    <row r="45" spans="1:34" ht="26.4">
      <c r="A45" s="51" t="s">
        <v>83</v>
      </c>
      <c r="B45" s="84">
        <f t="shared" si="1"/>
        <v>45861</v>
      </c>
      <c r="C45" s="83">
        <v>45861</v>
      </c>
      <c r="D45" s="52" t="s">
        <v>152</v>
      </c>
      <c r="E45" s="52" t="s">
        <v>144</v>
      </c>
      <c r="F45" s="100">
        <v>45261</v>
      </c>
      <c r="G45" s="101" t="s">
        <v>206</v>
      </c>
      <c r="H45" s="52" t="s">
        <v>204</v>
      </c>
      <c r="I45" s="30" t="s">
        <v>99</v>
      </c>
      <c r="J45" s="30" t="s">
        <v>99</v>
      </c>
      <c r="K45" s="30" t="s">
        <v>99</v>
      </c>
      <c r="L45" s="77" t="s">
        <v>99</v>
      </c>
      <c r="M45" s="77" t="s">
        <v>99</v>
      </c>
      <c r="N45" s="81" t="s">
        <v>99</v>
      </c>
      <c r="O45" s="18"/>
      <c r="P45" s="18"/>
      <c r="Q45" s="31">
        <v>5</v>
      </c>
      <c r="R45" s="31" t="s">
        <v>99</v>
      </c>
      <c r="S45" s="18"/>
      <c r="T45" s="18"/>
      <c r="U45" s="18"/>
      <c r="V45" s="18"/>
      <c r="W45" s="18"/>
      <c r="X45" s="28">
        <v>5</v>
      </c>
      <c r="Y45" s="28"/>
      <c r="Z45" s="18" t="s">
        <v>205</v>
      </c>
      <c r="AA45" s="93">
        <v>0.15</v>
      </c>
      <c r="AB45" s="28"/>
      <c r="AC45" s="28"/>
      <c r="AD45" s="18" t="s">
        <v>81</v>
      </c>
      <c r="AE45" s="93">
        <v>1</v>
      </c>
      <c r="AF45" s="18" t="s">
        <v>71</v>
      </c>
      <c r="AG45" s="110" t="s">
        <v>181</v>
      </c>
      <c r="AH45" s="16"/>
    </row>
    <row r="46" spans="1:34" s="4" customFormat="1">
      <c r="A46" s="169"/>
      <c r="B46" s="84">
        <f t="shared" si="1"/>
        <v>45862</v>
      </c>
      <c r="C46" s="162">
        <v>45862</v>
      </c>
      <c r="D46" s="163">
        <v>0</v>
      </c>
      <c r="E46" s="163"/>
      <c r="F46" s="164"/>
      <c r="G46" s="69"/>
      <c r="H46" s="170"/>
      <c r="I46" s="170"/>
      <c r="J46" s="170"/>
      <c r="K46" s="170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5"/>
      <c r="Y46" s="164"/>
      <c r="Z46" s="164"/>
      <c r="AA46" s="171"/>
      <c r="AB46" s="164"/>
      <c r="AC46" s="164"/>
      <c r="AD46" s="164"/>
      <c r="AE46" s="164"/>
      <c r="AF46" s="164"/>
      <c r="AG46" s="172"/>
      <c r="AH46" s="16"/>
    </row>
    <row r="47" spans="1:34" ht="138">
      <c r="A47" s="51" t="s">
        <v>83</v>
      </c>
      <c r="B47" s="84">
        <f t="shared" si="1"/>
        <v>45862</v>
      </c>
      <c r="C47" s="129">
        <v>45862</v>
      </c>
      <c r="D47" s="52" t="s">
        <v>136</v>
      </c>
      <c r="E47" s="52" t="s">
        <v>207</v>
      </c>
      <c r="F47" s="86">
        <v>42331</v>
      </c>
      <c r="G47" s="87" t="s">
        <v>208</v>
      </c>
      <c r="H47" s="117" t="s">
        <v>209</v>
      </c>
      <c r="I47" s="117"/>
      <c r="J47" s="117"/>
      <c r="K47" s="117"/>
      <c r="L47" s="18"/>
      <c r="M47" s="18"/>
      <c r="N47" s="81">
        <v>2</v>
      </c>
      <c r="O47" s="18"/>
      <c r="P47" s="18"/>
      <c r="Q47" s="18"/>
      <c r="R47" s="18"/>
      <c r="S47" s="18"/>
      <c r="T47" s="18"/>
      <c r="U47" s="18"/>
      <c r="V47" s="18"/>
      <c r="W47" s="18"/>
      <c r="X47" s="28">
        <v>5</v>
      </c>
      <c r="Y47" s="28"/>
      <c r="Z47" s="18" t="s">
        <v>12</v>
      </c>
      <c r="AA47" s="93"/>
      <c r="AB47" s="28"/>
      <c r="AC47" s="28"/>
      <c r="AD47" s="28" t="s">
        <v>81</v>
      </c>
      <c r="AE47" s="93">
        <v>1</v>
      </c>
      <c r="AF47" s="173" t="s">
        <v>210</v>
      </c>
      <c r="AG47" s="118" t="s">
        <v>211</v>
      </c>
      <c r="AH47" s="16"/>
    </row>
    <row r="48" spans="1:34" s="5" customFormat="1" ht="26.4">
      <c r="A48" s="51" t="s">
        <v>83</v>
      </c>
      <c r="B48" s="84">
        <f t="shared" si="1"/>
        <v>45862</v>
      </c>
      <c r="C48" s="83">
        <v>45862</v>
      </c>
      <c r="D48" s="52" t="s">
        <v>212</v>
      </c>
      <c r="E48" s="52" t="s">
        <v>144</v>
      </c>
      <c r="F48" s="100">
        <v>46855</v>
      </c>
      <c r="G48" s="101" t="s">
        <v>213</v>
      </c>
      <c r="H48" s="29" t="s">
        <v>214</v>
      </c>
      <c r="I48" s="30" t="s">
        <v>99</v>
      </c>
      <c r="J48" s="30" t="s">
        <v>215</v>
      </c>
      <c r="K48" s="30" t="s">
        <v>99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>
        <v>5</v>
      </c>
      <c r="Y48" s="18"/>
      <c r="Z48" s="18"/>
      <c r="AA48" s="18"/>
      <c r="AB48" s="18" t="s">
        <v>216</v>
      </c>
      <c r="AC48" s="103">
        <v>0.15</v>
      </c>
      <c r="AD48" s="74" t="s">
        <v>115</v>
      </c>
      <c r="AE48" s="103">
        <v>0.85</v>
      </c>
      <c r="AF48" s="18" t="s">
        <v>178</v>
      </c>
      <c r="AG48" s="110" t="s">
        <v>217</v>
      </c>
      <c r="AH48" s="16"/>
    </row>
    <row r="49" spans="1:37" s="5" customFormat="1">
      <c r="A49" s="51" t="s">
        <v>83</v>
      </c>
      <c r="B49" s="84">
        <f t="shared" si="1"/>
        <v>45862</v>
      </c>
      <c r="C49" s="83">
        <v>45862</v>
      </c>
      <c r="D49" s="52" t="s">
        <v>131</v>
      </c>
      <c r="E49" s="52" t="s">
        <v>190</v>
      </c>
      <c r="F49" s="100">
        <v>44452</v>
      </c>
      <c r="G49" s="116" t="s">
        <v>218</v>
      </c>
      <c r="H49" s="111" t="s">
        <v>161</v>
      </c>
      <c r="I49" s="29"/>
      <c r="J49" s="29"/>
      <c r="K49" s="29"/>
      <c r="L49" s="77">
        <v>5</v>
      </c>
      <c r="M49" s="77">
        <v>7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>
        <v>5</v>
      </c>
      <c r="Y49" s="28"/>
      <c r="Z49" s="74"/>
      <c r="AA49" s="103"/>
      <c r="AB49" s="75" t="s">
        <v>219</v>
      </c>
      <c r="AC49" s="103">
        <v>0.15</v>
      </c>
      <c r="AD49" s="74" t="s">
        <v>81</v>
      </c>
      <c r="AE49" s="103">
        <v>0.85</v>
      </c>
      <c r="AF49" s="18" t="s">
        <v>196</v>
      </c>
      <c r="AG49" s="110" t="s">
        <v>148</v>
      </c>
      <c r="AH49" s="16"/>
    </row>
    <row r="50" spans="1:37" s="6" customFormat="1" ht="26.4">
      <c r="A50" s="51" t="s">
        <v>83</v>
      </c>
      <c r="B50" s="84">
        <f t="shared" si="1"/>
        <v>45862</v>
      </c>
      <c r="C50" s="129">
        <v>45862</v>
      </c>
      <c r="D50" s="52" t="s">
        <v>220</v>
      </c>
      <c r="E50" s="52" t="s">
        <v>221</v>
      </c>
      <c r="F50" s="86">
        <v>46824</v>
      </c>
      <c r="G50" s="87" t="s">
        <v>222</v>
      </c>
      <c r="H50" s="117" t="s">
        <v>223</v>
      </c>
      <c r="I50" s="117"/>
      <c r="J50" s="117"/>
      <c r="K50" s="117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79" t="s">
        <v>113</v>
      </c>
      <c r="W50" s="18"/>
      <c r="X50" s="28">
        <v>5</v>
      </c>
      <c r="Y50" s="28"/>
      <c r="Z50" s="18"/>
      <c r="AA50" s="93"/>
      <c r="AB50" s="18" t="s">
        <v>224</v>
      </c>
      <c r="AC50" s="93">
        <v>0.7</v>
      </c>
      <c r="AD50" s="18" t="s">
        <v>225</v>
      </c>
      <c r="AE50" s="93">
        <v>0.3</v>
      </c>
      <c r="AF50" s="18" t="s">
        <v>226</v>
      </c>
      <c r="AG50" s="130" t="s">
        <v>156</v>
      </c>
      <c r="AH50" s="16"/>
    </row>
    <row r="51" spans="1:37" s="6" customFormat="1" ht="66">
      <c r="A51" s="51" t="s">
        <v>83</v>
      </c>
      <c r="B51" s="84">
        <f t="shared" si="1"/>
        <v>45862</v>
      </c>
      <c r="C51" s="129">
        <v>45862</v>
      </c>
      <c r="D51" s="52" t="s">
        <v>227</v>
      </c>
      <c r="E51" s="52" t="s">
        <v>228</v>
      </c>
      <c r="F51" s="100">
        <v>46837</v>
      </c>
      <c r="G51" s="116" t="s">
        <v>229</v>
      </c>
      <c r="H51" s="117" t="s">
        <v>202</v>
      </c>
      <c r="I51" s="55"/>
      <c r="J51" s="55"/>
      <c r="K51" s="55"/>
      <c r="L51" s="18"/>
      <c r="M51" s="18"/>
      <c r="N51" s="81" t="s">
        <v>99</v>
      </c>
      <c r="O51" s="18"/>
      <c r="P51" s="18"/>
      <c r="Q51" s="18"/>
      <c r="R51" s="18"/>
      <c r="S51" s="18"/>
      <c r="T51" s="18"/>
      <c r="U51" s="18"/>
      <c r="V51" s="18"/>
      <c r="W51" s="18"/>
      <c r="X51" s="28">
        <v>5</v>
      </c>
      <c r="Y51" s="18"/>
      <c r="Z51" s="18"/>
      <c r="AA51" s="90"/>
      <c r="AB51" s="18"/>
      <c r="AC51" s="18"/>
      <c r="AD51" s="18" t="s">
        <v>81</v>
      </c>
      <c r="AE51" s="93">
        <v>1</v>
      </c>
      <c r="AF51" s="18" t="s">
        <v>88</v>
      </c>
      <c r="AG51" s="117" t="s">
        <v>200</v>
      </c>
      <c r="AH51" s="16"/>
    </row>
    <row r="52" spans="1:37">
      <c r="A52" s="161"/>
      <c r="B52" s="84">
        <f t="shared" si="1"/>
        <v>45863</v>
      </c>
      <c r="C52" s="162">
        <v>45863</v>
      </c>
      <c r="D52" s="163">
        <v>0</v>
      </c>
      <c r="E52" s="163"/>
      <c r="F52" s="164"/>
      <c r="G52" s="69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5"/>
      <c r="Y52" s="165"/>
      <c r="Z52" s="164"/>
      <c r="AA52" s="166"/>
      <c r="AB52" s="165"/>
      <c r="AC52" s="165"/>
      <c r="AD52" s="164"/>
      <c r="AE52" s="165"/>
      <c r="AF52" s="164"/>
      <c r="AG52" s="167"/>
      <c r="AH52" s="16"/>
    </row>
    <row r="53" spans="1:37">
      <c r="A53" s="51" t="s">
        <v>83</v>
      </c>
      <c r="B53" s="84">
        <f t="shared" si="1"/>
        <v>45863</v>
      </c>
      <c r="C53" s="129">
        <v>45863</v>
      </c>
      <c r="D53" s="52" t="s">
        <v>230</v>
      </c>
      <c r="E53" s="52" t="s">
        <v>163</v>
      </c>
      <c r="F53" s="100">
        <v>46874</v>
      </c>
      <c r="G53" s="116" t="s">
        <v>231</v>
      </c>
      <c r="H53" s="117" t="s">
        <v>232</v>
      </c>
      <c r="I53" s="117"/>
      <c r="J53" s="117"/>
      <c r="K53" s="117"/>
      <c r="L53" s="18"/>
      <c r="M53" s="18"/>
      <c r="N53" s="18"/>
      <c r="O53" s="18"/>
      <c r="P53" s="18"/>
      <c r="Q53" s="18"/>
      <c r="R53" s="18"/>
      <c r="S53" s="78" t="s">
        <v>99</v>
      </c>
      <c r="T53" s="78" t="s">
        <v>99</v>
      </c>
      <c r="U53" s="80" t="s">
        <v>99</v>
      </c>
      <c r="V53" s="79" t="s">
        <v>233</v>
      </c>
      <c r="W53" s="18"/>
      <c r="X53" s="28">
        <v>5</v>
      </c>
      <c r="Y53" s="18"/>
      <c r="Z53" s="18"/>
      <c r="AA53" s="90"/>
      <c r="AB53" s="18"/>
      <c r="AC53" s="90"/>
      <c r="AD53" s="18" t="s">
        <v>115</v>
      </c>
      <c r="AE53" s="93">
        <v>1</v>
      </c>
      <c r="AF53" s="18" t="s">
        <v>234</v>
      </c>
      <c r="AG53" s="130" t="s">
        <v>95</v>
      </c>
      <c r="AH53" s="16"/>
    </row>
    <row r="54" spans="1:37" s="15" customFormat="1" ht="26.4">
      <c r="A54" s="51" t="s">
        <v>83</v>
      </c>
      <c r="B54" s="84">
        <f t="shared" si="1"/>
        <v>45863</v>
      </c>
      <c r="C54" s="83">
        <v>45863</v>
      </c>
      <c r="D54" s="52" t="s">
        <v>189</v>
      </c>
      <c r="E54" s="18" t="s">
        <v>235</v>
      </c>
      <c r="F54" s="100">
        <v>45392</v>
      </c>
      <c r="G54" s="101" t="s">
        <v>236</v>
      </c>
      <c r="H54" s="29" t="s">
        <v>237</v>
      </c>
      <c r="I54" s="30" t="s">
        <v>99</v>
      </c>
      <c r="J54" s="29"/>
      <c r="K54" s="30" t="s">
        <v>99</v>
      </c>
      <c r="L54" s="18"/>
      <c r="M54" s="77" t="s">
        <v>99</v>
      </c>
      <c r="N54" s="81">
        <v>5</v>
      </c>
      <c r="O54" s="88" t="s">
        <v>182</v>
      </c>
      <c r="P54" s="88" t="s">
        <v>182</v>
      </c>
      <c r="Q54" s="18"/>
      <c r="R54" s="18"/>
      <c r="S54" s="18"/>
      <c r="T54" s="18"/>
      <c r="U54" s="18"/>
      <c r="V54" s="18"/>
      <c r="W54" s="18"/>
      <c r="X54" s="28">
        <v>5</v>
      </c>
      <c r="Y54" s="28"/>
      <c r="Z54" s="156"/>
      <c r="AA54" s="103"/>
      <c r="AB54" s="74" t="s">
        <v>238</v>
      </c>
      <c r="AC54" s="178">
        <v>0.33329999999999999</v>
      </c>
      <c r="AD54" s="65" t="s">
        <v>81</v>
      </c>
      <c r="AE54" s="178">
        <v>0.66669999999999996</v>
      </c>
      <c r="AF54" s="18" t="s">
        <v>71</v>
      </c>
      <c r="AG54" s="110" t="s">
        <v>239</v>
      </c>
      <c r="AH54" s="16"/>
      <c r="AI54" s="1"/>
      <c r="AJ54" s="1"/>
      <c r="AK54" s="1"/>
    </row>
    <row r="55" spans="1:37" ht="26.4">
      <c r="A55" s="51" t="s">
        <v>83</v>
      </c>
      <c r="B55" s="84">
        <f t="shared" si="1"/>
        <v>45863</v>
      </c>
      <c r="C55" s="83">
        <v>45863</v>
      </c>
      <c r="D55" s="52" t="s">
        <v>240</v>
      </c>
      <c r="E55" s="52" t="s">
        <v>241</v>
      </c>
      <c r="F55" s="100">
        <v>45281</v>
      </c>
      <c r="G55" s="101" t="s">
        <v>242</v>
      </c>
      <c r="H55" s="111" t="s">
        <v>243</v>
      </c>
      <c r="I55" s="30">
        <v>1</v>
      </c>
      <c r="J55" s="30">
        <v>1</v>
      </c>
      <c r="K55" s="30">
        <v>1</v>
      </c>
      <c r="L55" s="77">
        <v>1</v>
      </c>
      <c r="M55" s="77">
        <v>3</v>
      </c>
      <c r="N55" s="18"/>
      <c r="O55" s="160">
        <v>1</v>
      </c>
      <c r="P55" s="160">
        <v>1</v>
      </c>
      <c r="Q55" s="108"/>
      <c r="R55" s="108"/>
      <c r="S55" s="18"/>
      <c r="T55" s="18"/>
      <c r="U55" s="18"/>
      <c r="V55" s="18"/>
      <c r="W55" s="18"/>
      <c r="X55" s="28">
        <v>5</v>
      </c>
      <c r="Y55" s="28"/>
      <c r="Z55" s="74"/>
      <c r="AA55" s="103"/>
      <c r="AB55" s="75"/>
      <c r="AC55" s="75"/>
      <c r="AD55" s="74" t="s">
        <v>177</v>
      </c>
      <c r="AE55" s="103">
        <v>1</v>
      </c>
      <c r="AF55" s="18" t="s">
        <v>244</v>
      </c>
      <c r="AG55" s="110" t="s">
        <v>188</v>
      </c>
      <c r="AH55" s="16"/>
    </row>
    <row r="56" spans="1:37">
      <c r="A56" s="51" t="s">
        <v>83</v>
      </c>
      <c r="B56" s="84">
        <f t="shared" si="1"/>
        <v>45863</v>
      </c>
      <c r="C56" s="264">
        <v>45863</v>
      </c>
      <c r="D56" s="261" t="s">
        <v>131</v>
      </c>
      <c r="E56" s="52" t="s">
        <v>111</v>
      </c>
      <c r="F56" s="119">
        <v>46879</v>
      </c>
      <c r="G56" s="120" t="s">
        <v>245</v>
      </c>
      <c r="H56" s="117" t="s">
        <v>232</v>
      </c>
      <c r="I56" s="117"/>
      <c r="J56" s="117"/>
      <c r="K56" s="117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79" t="s">
        <v>233</v>
      </c>
      <c r="W56" s="18"/>
      <c r="X56" s="28">
        <v>5</v>
      </c>
      <c r="Y56" s="18"/>
      <c r="Z56" s="18"/>
      <c r="AA56" s="90"/>
      <c r="AB56" s="18" t="s">
        <v>246</v>
      </c>
      <c r="AC56" s="93">
        <v>0.5</v>
      </c>
      <c r="AD56" s="18" t="s">
        <v>81</v>
      </c>
      <c r="AE56" s="93">
        <v>0.5</v>
      </c>
      <c r="AF56" s="18" t="s">
        <v>71</v>
      </c>
      <c r="AG56" s="118" t="s">
        <v>95</v>
      </c>
      <c r="AH56" s="16"/>
    </row>
    <row r="57" spans="1:37" s="14" customFormat="1" ht="39.6">
      <c r="A57" s="51" t="s">
        <v>83</v>
      </c>
      <c r="B57" s="84">
        <f t="shared" si="1"/>
        <v>45863</v>
      </c>
      <c r="C57" s="83">
        <v>45863</v>
      </c>
      <c r="D57" s="18" t="s">
        <v>247</v>
      </c>
      <c r="E57" s="18" t="s">
        <v>248</v>
      </c>
      <c r="F57" s="100">
        <v>41311</v>
      </c>
      <c r="G57" s="116" t="s">
        <v>249</v>
      </c>
      <c r="H57" s="29" t="s">
        <v>250</v>
      </c>
      <c r="I57" s="29"/>
      <c r="J57" s="29"/>
      <c r="K57" s="29"/>
      <c r="L57" s="48"/>
      <c r="M57" s="48"/>
      <c r="N57" s="81">
        <v>1</v>
      </c>
      <c r="O57" s="18"/>
      <c r="P57" s="18"/>
      <c r="Q57" s="48"/>
      <c r="R57" s="48"/>
      <c r="S57" s="48"/>
      <c r="T57" s="48"/>
      <c r="U57" s="48"/>
      <c r="V57" s="48"/>
      <c r="W57" s="48"/>
      <c r="X57" s="28">
        <v>5</v>
      </c>
      <c r="Y57" s="28"/>
      <c r="Z57" s="74"/>
      <c r="AA57" s="103"/>
      <c r="AB57" s="177"/>
      <c r="AC57" s="103"/>
      <c r="AD57" s="74" t="s">
        <v>177</v>
      </c>
      <c r="AE57" s="103">
        <v>1</v>
      </c>
      <c r="AF57" s="18" t="s">
        <v>251</v>
      </c>
      <c r="AG57" s="130" t="s">
        <v>252</v>
      </c>
      <c r="AH57" s="16"/>
    </row>
    <row r="58" spans="1:37">
      <c r="A58" s="121"/>
      <c r="B58" s="84">
        <f t="shared" si="1"/>
        <v>45866</v>
      </c>
      <c r="C58" s="122">
        <v>45866</v>
      </c>
      <c r="D58" s="123">
        <v>0</v>
      </c>
      <c r="E58" s="70"/>
      <c r="F58" s="124"/>
      <c r="G58" s="70"/>
      <c r="H58" s="125"/>
      <c r="I58" s="125"/>
      <c r="J58" s="125"/>
      <c r="K58" s="125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6"/>
      <c r="Y58" s="124"/>
      <c r="Z58" s="124"/>
      <c r="AA58" s="127"/>
      <c r="AB58" s="124"/>
      <c r="AC58" s="124"/>
      <c r="AD58" s="124"/>
      <c r="AE58" s="124"/>
      <c r="AF58" s="124"/>
      <c r="AG58" s="128"/>
      <c r="AH58" s="16"/>
    </row>
    <row r="59" spans="1:37" ht="39.6">
      <c r="A59" s="51" t="s">
        <v>83</v>
      </c>
      <c r="B59" s="84">
        <f t="shared" si="1"/>
        <v>45866</v>
      </c>
      <c r="C59" s="83">
        <v>45866</v>
      </c>
      <c r="D59" s="261" t="s">
        <v>212</v>
      </c>
      <c r="E59" s="52" t="s">
        <v>253</v>
      </c>
      <c r="F59" s="184">
        <v>41011</v>
      </c>
      <c r="G59" s="185" t="s">
        <v>254</v>
      </c>
      <c r="H59" s="111" t="s">
        <v>255</v>
      </c>
      <c r="I59" s="186"/>
      <c r="J59" s="186"/>
      <c r="K59" s="186"/>
      <c r="L59" s="52"/>
      <c r="M59" s="52"/>
      <c r="N59" s="81">
        <v>1</v>
      </c>
      <c r="O59" s="52"/>
      <c r="P59" s="52"/>
      <c r="Q59" s="52"/>
      <c r="R59" s="52"/>
      <c r="S59" s="52"/>
      <c r="T59" s="52"/>
      <c r="U59" s="52"/>
      <c r="V59" s="52"/>
      <c r="W59" s="52"/>
      <c r="X59" s="187">
        <v>5</v>
      </c>
      <c r="Y59" s="187"/>
      <c r="Z59" s="52" t="s">
        <v>256</v>
      </c>
      <c r="AA59" s="98">
        <v>0.1</v>
      </c>
      <c r="AB59" s="188"/>
      <c r="AC59" s="187"/>
      <c r="AD59" s="187" t="s">
        <v>115</v>
      </c>
      <c r="AE59" s="98">
        <v>1</v>
      </c>
      <c r="AF59" s="52" t="s">
        <v>71</v>
      </c>
      <c r="AG59" s="189" t="s">
        <v>68</v>
      </c>
      <c r="AH59" s="16"/>
    </row>
    <row r="60" spans="1:37" ht="39.6">
      <c r="A60" s="51" t="s">
        <v>83</v>
      </c>
      <c r="B60" s="84">
        <f t="shared" si="1"/>
        <v>45866</v>
      </c>
      <c r="C60" s="83">
        <v>45866</v>
      </c>
      <c r="D60" s="261" t="s">
        <v>212</v>
      </c>
      <c r="E60" s="52" t="s">
        <v>257</v>
      </c>
      <c r="F60" s="100">
        <v>41011</v>
      </c>
      <c r="G60" s="116" t="s">
        <v>254</v>
      </c>
      <c r="H60" s="29" t="s">
        <v>68</v>
      </c>
      <c r="I60" s="30">
        <v>1</v>
      </c>
      <c r="J60" s="30">
        <v>1</v>
      </c>
      <c r="K60" s="30">
        <v>1</v>
      </c>
      <c r="L60" s="77">
        <v>1</v>
      </c>
      <c r="M60" s="77">
        <v>1</v>
      </c>
      <c r="N60" s="53"/>
      <c r="O60" s="53"/>
      <c r="P60" s="53"/>
      <c r="Q60" s="18"/>
      <c r="R60" s="18"/>
      <c r="S60" s="18"/>
      <c r="T60" s="18"/>
      <c r="U60" s="18"/>
      <c r="V60" s="18"/>
      <c r="W60" s="18"/>
      <c r="X60" s="28">
        <v>8</v>
      </c>
      <c r="Y60" s="28"/>
      <c r="Z60" s="18" t="s">
        <v>258</v>
      </c>
      <c r="AA60" s="93">
        <v>0.1</v>
      </c>
      <c r="AB60" s="186"/>
      <c r="AC60" s="28"/>
      <c r="AD60" s="18" t="s">
        <v>115</v>
      </c>
      <c r="AE60" s="93">
        <v>1</v>
      </c>
      <c r="AF60" s="18" t="s">
        <v>71</v>
      </c>
      <c r="AG60" s="110" t="s">
        <v>72</v>
      </c>
      <c r="AH60" s="16"/>
    </row>
    <row r="61" spans="1:37" ht="39.6">
      <c r="A61" s="51" t="s">
        <v>83</v>
      </c>
      <c r="B61" s="84">
        <f t="shared" si="1"/>
        <v>45866</v>
      </c>
      <c r="C61" s="83">
        <v>45866</v>
      </c>
      <c r="D61" s="261" t="s">
        <v>212</v>
      </c>
      <c r="E61" s="52" t="s">
        <v>257</v>
      </c>
      <c r="F61" s="184">
        <v>41011</v>
      </c>
      <c r="G61" s="185" t="s">
        <v>254</v>
      </c>
      <c r="H61" s="111" t="s">
        <v>72</v>
      </c>
      <c r="I61" s="186"/>
      <c r="J61" s="186"/>
      <c r="K61" s="186"/>
      <c r="L61" s="52"/>
      <c r="M61" s="52"/>
      <c r="N61" s="52"/>
      <c r="O61" s="160">
        <v>1</v>
      </c>
      <c r="P61" s="160">
        <v>1</v>
      </c>
      <c r="Q61" s="108"/>
      <c r="R61" s="108"/>
      <c r="S61" s="52"/>
      <c r="T61" s="52"/>
      <c r="U61" s="52"/>
      <c r="V61" s="52"/>
      <c r="W61" s="52"/>
      <c r="X61" s="187">
        <v>5</v>
      </c>
      <c r="Y61" s="187"/>
      <c r="Z61" s="52" t="s">
        <v>259</v>
      </c>
      <c r="AA61" s="98">
        <v>0.1</v>
      </c>
      <c r="AB61" s="91"/>
      <c r="AC61" s="187"/>
      <c r="AD61" s="187" t="s">
        <v>115</v>
      </c>
      <c r="AE61" s="98">
        <v>1</v>
      </c>
      <c r="AF61" s="52" t="s">
        <v>71</v>
      </c>
      <c r="AG61" s="73" t="s">
        <v>255</v>
      </c>
      <c r="AH61" s="16"/>
    </row>
    <row r="62" spans="1:37" ht="26.4">
      <c r="A62" s="51" t="s">
        <v>83</v>
      </c>
      <c r="B62" s="84">
        <f t="shared" si="1"/>
        <v>45866</v>
      </c>
      <c r="C62" s="129">
        <v>45866</v>
      </c>
      <c r="D62" s="52" t="s">
        <v>260</v>
      </c>
      <c r="E62" s="18" t="s">
        <v>91</v>
      </c>
      <c r="F62" s="86">
        <v>46862</v>
      </c>
      <c r="G62" s="198" t="s">
        <v>261</v>
      </c>
      <c r="H62" s="29" t="s">
        <v>262</v>
      </c>
      <c r="I62" s="29"/>
      <c r="J62" s="29"/>
      <c r="K62" s="29"/>
      <c r="L62" s="18"/>
      <c r="M62" s="18"/>
      <c r="N62" s="18"/>
      <c r="O62" s="18"/>
      <c r="P62" s="18"/>
      <c r="Q62" s="18"/>
      <c r="R62" s="18"/>
      <c r="S62" s="78" t="s">
        <v>263</v>
      </c>
      <c r="T62" s="78" t="s">
        <v>99</v>
      </c>
      <c r="U62" s="80" t="s">
        <v>99</v>
      </c>
      <c r="V62" s="79" t="s">
        <v>264</v>
      </c>
      <c r="W62" s="18"/>
      <c r="X62" s="28">
        <v>5</v>
      </c>
      <c r="Y62" s="28"/>
      <c r="Z62" s="74"/>
      <c r="AA62" s="103"/>
      <c r="AB62" s="18" t="s">
        <v>265</v>
      </c>
      <c r="AC62" s="103">
        <v>0.4</v>
      </c>
      <c r="AD62" s="74" t="s">
        <v>115</v>
      </c>
      <c r="AE62" s="103">
        <v>0.6</v>
      </c>
      <c r="AF62" s="18" t="s">
        <v>71</v>
      </c>
      <c r="AG62" s="74" t="s">
        <v>266</v>
      </c>
      <c r="AH62" s="16"/>
    </row>
    <row r="63" spans="1:37">
      <c r="A63" s="51" t="s">
        <v>83</v>
      </c>
      <c r="B63" s="84">
        <f t="shared" si="1"/>
        <v>45866</v>
      </c>
      <c r="C63" s="83">
        <v>45866</v>
      </c>
      <c r="D63" s="52" t="s">
        <v>267</v>
      </c>
      <c r="E63" s="52" t="s">
        <v>144</v>
      </c>
      <c r="F63" s="100">
        <v>46264</v>
      </c>
      <c r="G63" s="101" t="s">
        <v>268</v>
      </c>
      <c r="H63" s="29" t="s">
        <v>181</v>
      </c>
      <c r="I63" s="30" t="s">
        <v>99</v>
      </c>
      <c r="J63" s="30" t="s">
        <v>99</v>
      </c>
      <c r="K63" s="30" t="s">
        <v>99</v>
      </c>
      <c r="L63" s="77" t="s">
        <v>99</v>
      </c>
      <c r="M63" s="77" t="s">
        <v>99</v>
      </c>
      <c r="N63" s="81" t="s">
        <v>99</v>
      </c>
      <c r="O63" s="88" t="s">
        <v>182</v>
      </c>
      <c r="P63" s="88" t="s">
        <v>182</v>
      </c>
      <c r="Q63" s="31">
        <v>5</v>
      </c>
      <c r="R63" s="31" t="s">
        <v>99</v>
      </c>
      <c r="S63" s="18"/>
      <c r="T63" s="18"/>
      <c r="U63" s="18"/>
      <c r="V63" s="18"/>
      <c r="W63" s="18"/>
      <c r="X63" s="28">
        <v>5</v>
      </c>
      <c r="Y63" s="28"/>
      <c r="Z63" s="74"/>
      <c r="AA63" s="103"/>
      <c r="AB63" s="75"/>
      <c r="AC63" s="75"/>
      <c r="AD63" s="74" t="s">
        <v>269</v>
      </c>
      <c r="AE63" s="103">
        <v>1</v>
      </c>
      <c r="AF63" s="18" t="s">
        <v>71</v>
      </c>
      <c r="AG63" s="110" t="s">
        <v>183</v>
      </c>
      <c r="AH63" s="16"/>
    </row>
    <row r="64" spans="1:37">
      <c r="A64" s="161"/>
      <c r="B64" s="84">
        <f t="shared" si="1"/>
        <v>45867</v>
      </c>
      <c r="C64" s="162">
        <v>45867</v>
      </c>
      <c r="D64" s="163">
        <v>0</v>
      </c>
      <c r="E64" s="69"/>
      <c r="F64" s="167"/>
      <c r="G64" s="69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5"/>
      <c r="Y64" s="165"/>
      <c r="Z64" s="164"/>
      <c r="AA64" s="166"/>
      <c r="AB64" s="165"/>
      <c r="AC64" s="165"/>
      <c r="AD64" s="164"/>
      <c r="AE64" s="165"/>
      <c r="AF64" s="164"/>
      <c r="AG64" s="167"/>
      <c r="AH64" s="16"/>
    </row>
    <row r="65" spans="1:34" s="4" customFormat="1" ht="26.4">
      <c r="A65" s="51" t="s">
        <v>83</v>
      </c>
      <c r="B65" s="84">
        <f t="shared" si="1"/>
        <v>45867</v>
      </c>
      <c r="C65" s="83">
        <v>45867</v>
      </c>
      <c r="D65" s="52" t="s">
        <v>270</v>
      </c>
      <c r="E65" s="52" t="s">
        <v>241</v>
      </c>
      <c r="F65" s="231">
        <v>41067</v>
      </c>
      <c r="G65" s="232" t="s">
        <v>271</v>
      </c>
      <c r="H65" s="29" t="s">
        <v>68</v>
      </c>
      <c r="I65" s="30">
        <v>3</v>
      </c>
      <c r="J65" s="30">
        <v>3</v>
      </c>
      <c r="K65" s="29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>
        <v>5</v>
      </c>
      <c r="Y65" s="28"/>
      <c r="Z65" s="18" t="s">
        <v>258</v>
      </c>
      <c r="AA65" s="93">
        <v>0.1</v>
      </c>
      <c r="AB65" s="28"/>
      <c r="AC65" s="28"/>
      <c r="AD65" s="18" t="s">
        <v>115</v>
      </c>
      <c r="AE65" s="93">
        <v>1</v>
      </c>
      <c r="AF65" s="18" t="s">
        <v>272</v>
      </c>
      <c r="AG65" s="110" t="s">
        <v>273</v>
      </c>
      <c r="AH65" s="16"/>
    </row>
    <row r="66" spans="1:34" ht="26.4">
      <c r="A66" s="51" t="s">
        <v>83</v>
      </c>
      <c r="B66" s="84">
        <f t="shared" si="1"/>
        <v>45867</v>
      </c>
      <c r="C66" s="83">
        <v>45867</v>
      </c>
      <c r="D66" s="52" t="s">
        <v>270</v>
      </c>
      <c r="E66" s="52" t="s">
        <v>241</v>
      </c>
      <c r="F66" s="184">
        <v>43076</v>
      </c>
      <c r="G66" s="233" t="s">
        <v>274</v>
      </c>
      <c r="H66" s="111" t="s">
        <v>275</v>
      </c>
      <c r="I66" s="111"/>
      <c r="J66" s="111"/>
      <c r="K66" s="234">
        <v>3</v>
      </c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187">
        <v>5</v>
      </c>
      <c r="Y66" s="187"/>
      <c r="Z66" s="71"/>
      <c r="AA66" s="235"/>
      <c r="AB66" s="177"/>
      <c r="AC66" s="177"/>
      <c r="AD66" s="71" t="s">
        <v>115</v>
      </c>
      <c r="AE66" s="103">
        <v>1</v>
      </c>
      <c r="AF66" s="236" t="s">
        <v>276</v>
      </c>
      <c r="AG66" s="110" t="s">
        <v>68</v>
      </c>
      <c r="AH66" s="16"/>
    </row>
    <row r="67" spans="1:34">
      <c r="A67" s="161"/>
      <c r="B67" s="84">
        <f t="shared" si="1"/>
        <v>45868</v>
      </c>
      <c r="C67" s="162">
        <v>45868</v>
      </c>
      <c r="D67" s="163">
        <v>0</v>
      </c>
      <c r="E67" s="163"/>
      <c r="F67" s="167"/>
      <c r="G67" s="69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5"/>
      <c r="Y67" s="165"/>
      <c r="Z67" s="164"/>
      <c r="AA67" s="166"/>
      <c r="AB67" s="165"/>
      <c r="AC67" s="165"/>
      <c r="AD67" s="164"/>
      <c r="AE67" s="165"/>
      <c r="AF67" s="164"/>
      <c r="AG67" s="167"/>
      <c r="AH67" s="16"/>
    </row>
    <row r="68" spans="1:34" ht="66">
      <c r="A68" s="51" t="s">
        <v>83</v>
      </c>
      <c r="B68" s="84">
        <f t="shared" si="1"/>
        <v>45868</v>
      </c>
      <c r="C68" s="83">
        <v>45868</v>
      </c>
      <c r="D68" s="52" t="s">
        <v>189</v>
      </c>
      <c r="E68" s="52" t="s">
        <v>279</v>
      </c>
      <c r="F68" s="86">
        <v>42021</v>
      </c>
      <c r="G68" s="87" t="s">
        <v>280</v>
      </c>
      <c r="H68" s="29" t="s">
        <v>181</v>
      </c>
      <c r="I68" s="30">
        <v>2</v>
      </c>
      <c r="J68" s="30">
        <v>2</v>
      </c>
      <c r="K68" s="30">
        <v>2</v>
      </c>
      <c r="L68" s="77">
        <v>2</v>
      </c>
      <c r="M68" s="77">
        <v>2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>
        <v>5</v>
      </c>
      <c r="Y68" s="28"/>
      <c r="Z68" s="18"/>
      <c r="AA68" s="93"/>
      <c r="AB68" s="28"/>
      <c r="AC68" s="28"/>
      <c r="AD68" s="18" t="s">
        <v>81</v>
      </c>
      <c r="AE68" s="93">
        <v>1</v>
      </c>
      <c r="AF68" s="18" t="s">
        <v>71</v>
      </c>
      <c r="AG68" s="110" t="s">
        <v>160</v>
      </c>
      <c r="AH68" s="16"/>
    </row>
    <row r="69" spans="1:34" ht="39.6">
      <c r="A69" s="51" t="s">
        <v>83</v>
      </c>
      <c r="B69" s="84">
        <f t="shared" si="1"/>
        <v>45868</v>
      </c>
      <c r="C69" s="83">
        <v>45868</v>
      </c>
      <c r="D69" s="18" t="s">
        <v>281</v>
      </c>
      <c r="E69" s="18" t="s">
        <v>248</v>
      </c>
      <c r="F69" s="100">
        <v>43053</v>
      </c>
      <c r="G69" s="101" t="s">
        <v>282</v>
      </c>
      <c r="H69" s="29" t="s">
        <v>255</v>
      </c>
      <c r="I69" s="29"/>
      <c r="J69" s="29"/>
      <c r="K69" s="29"/>
      <c r="L69" s="18"/>
      <c r="M69" s="18"/>
      <c r="N69" s="81">
        <v>1</v>
      </c>
      <c r="O69" s="18"/>
      <c r="P69" s="18"/>
      <c r="Q69" s="18"/>
      <c r="R69" s="18"/>
      <c r="S69" s="18"/>
      <c r="T69" s="18"/>
      <c r="U69" s="18"/>
      <c r="V69" s="18"/>
      <c r="W69" s="18"/>
      <c r="X69" s="28">
        <v>2.5</v>
      </c>
      <c r="Y69" s="278"/>
      <c r="Z69" s="279" t="s">
        <v>283</v>
      </c>
      <c r="AA69" s="280">
        <v>0.15</v>
      </c>
      <c r="AB69" s="281"/>
      <c r="AC69" s="282"/>
      <c r="AD69" s="283" t="s">
        <v>81</v>
      </c>
      <c r="AE69" s="280">
        <v>1</v>
      </c>
      <c r="AF69" s="283" t="s">
        <v>284</v>
      </c>
      <c r="AG69" s="284" t="s">
        <v>160</v>
      </c>
      <c r="AH69" s="16"/>
    </row>
    <row r="70" spans="1:34">
      <c r="A70" s="51" t="s">
        <v>83</v>
      </c>
      <c r="B70" s="84">
        <f t="shared" si="1"/>
        <v>45868</v>
      </c>
      <c r="C70" s="129">
        <v>45868</v>
      </c>
      <c r="D70" s="52" t="s">
        <v>260</v>
      </c>
      <c r="E70" s="52" t="s">
        <v>163</v>
      </c>
      <c r="F70" s="100">
        <v>46910</v>
      </c>
      <c r="G70" s="101" t="s">
        <v>285</v>
      </c>
      <c r="H70" s="29" t="s">
        <v>286</v>
      </c>
      <c r="I70" s="29"/>
      <c r="J70" s="29"/>
      <c r="K70" s="29"/>
      <c r="L70" s="18"/>
      <c r="M70" s="18"/>
      <c r="N70" s="18"/>
      <c r="O70" s="18"/>
      <c r="P70" s="18"/>
      <c r="Q70" s="18"/>
      <c r="R70" s="18"/>
      <c r="S70" s="78" t="s">
        <v>264</v>
      </c>
      <c r="T70" s="78" t="s">
        <v>264</v>
      </c>
      <c r="U70" s="80" t="s">
        <v>99</v>
      </c>
      <c r="V70" s="79" t="s">
        <v>264</v>
      </c>
      <c r="W70" s="18"/>
      <c r="X70" s="28">
        <v>5</v>
      </c>
      <c r="Y70" s="28"/>
      <c r="Z70" s="74"/>
      <c r="AA70" s="103"/>
      <c r="AB70" s="74" t="s">
        <v>287</v>
      </c>
      <c r="AC70" s="103">
        <v>0.3</v>
      </c>
      <c r="AD70" s="74" t="s">
        <v>115</v>
      </c>
      <c r="AE70" s="103">
        <v>0.7</v>
      </c>
      <c r="AF70" s="18" t="s">
        <v>71</v>
      </c>
      <c r="AG70" s="110" t="s">
        <v>288</v>
      </c>
      <c r="AH70" s="16"/>
    </row>
    <row r="71" spans="1:34">
      <c r="A71" s="169"/>
      <c r="B71" s="84">
        <f t="shared" si="1"/>
        <v>45869</v>
      </c>
      <c r="C71" s="162">
        <v>45869</v>
      </c>
      <c r="D71" s="163">
        <v>0</v>
      </c>
      <c r="E71" s="163"/>
      <c r="F71" s="167"/>
      <c r="G71" s="69"/>
      <c r="H71" s="170"/>
      <c r="I71" s="170"/>
      <c r="J71" s="170"/>
      <c r="K71" s="170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5"/>
      <c r="Y71" s="164"/>
      <c r="Z71" s="164"/>
      <c r="AA71" s="171"/>
      <c r="AB71" s="164"/>
      <c r="AC71" s="164"/>
      <c r="AD71" s="164"/>
      <c r="AE71" s="164"/>
      <c r="AF71" s="164"/>
      <c r="AG71" s="172"/>
      <c r="AH71" s="16"/>
    </row>
    <row r="72" spans="1:34" s="4" customFormat="1" ht="26.4">
      <c r="A72" s="51" t="s">
        <v>83</v>
      </c>
      <c r="B72" s="84">
        <f t="shared" si="1"/>
        <v>45869</v>
      </c>
      <c r="C72" s="83">
        <v>45869</v>
      </c>
      <c r="D72" s="261" t="s">
        <v>212</v>
      </c>
      <c r="E72" s="52" t="s">
        <v>144</v>
      </c>
      <c r="F72" s="100">
        <v>46922</v>
      </c>
      <c r="G72" s="101" t="s">
        <v>289</v>
      </c>
      <c r="H72" s="29" t="s">
        <v>290</v>
      </c>
      <c r="I72" s="74"/>
      <c r="J72" s="74"/>
      <c r="K72" s="74"/>
      <c r="L72" s="74"/>
      <c r="M72" s="74"/>
      <c r="N72" s="102"/>
      <c r="O72" s="88">
        <v>5</v>
      </c>
      <c r="P72" s="88">
        <v>5</v>
      </c>
      <c r="Q72" s="74"/>
      <c r="R72" s="74"/>
      <c r="S72" s="18"/>
      <c r="T72" s="18"/>
      <c r="U72" s="18"/>
      <c r="V72" s="18"/>
      <c r="W72" s="18"/>
      <c r="X72" s="28">
        <v>5</v>
      </c>
      <c r="Y72" s="28"/>
      <c r="Z72" s="18" t="s">
        <v>291</v>
      </c>
      <c r="AA72" s="93">
        <v>0.1</v>
      </c>
      <c r="AB72" s="28"/>
      <c r="AC72" s="93"/>
      <c r="AD72" s="18" t="s">
        <v>115</v>
      </c>
      <c r="AE72" s="90">
        <v>1</v>
      </c>
      <c r="AF72" s="18" t="s">
        <v>292</v>
      </c>
      <c r="AG72" s="94" t="s">
        <v>293</v>
      </c>
      <c r="AH72" s="16"/>
    </row>
    <row r="73" spans="1:34">
      <c r="A73" s="51" t="s">
        <v>83</v>
      </c>
      <c r="B73" s="84">
        <f t="shared" si="1"/>
        <v>45869</v>
      </c>
      <c r="C73" s="83">
        <v>45869</v>
      </c>
      <c r="D73" s="52" t="s">
        <v>240</v>
      </c>
      <c r="E73" s="52" t="s">
        <v>163</v>
      </c>
      <c r="F73" s="100">
        <v>43025</v>
      </c>
      <c r="G73" s="101" t="s">
        <v>294</v>
      </c>
      <c r="H73" s="29" t="s">
        <v>286</v>
      </c>
      <c r="I73" s="29"/>
      <c r="J73" s="30">
        <v>3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>
        <v>5</v>
      </c>
      <c r="Y73" s="28"/>
      <c r="Z73" s="18" t="s">
        <v>291</v>
      </c>
      <c r="AA73" s="93">
        <v>0.15</v>
      </c>
      <c r="AB73" s="28"/>
      <c r="AC73" s="28"/>
      <c r="AD73" s="18" t="s">
        <v>177</v>
      </c>
      <c r="AE73" s="93">
        <v>1</v>
      </c>
      <c r="AF73" s="18" t="s">
        <v>295</v>
      </c>
      <c r="AG73" s="110" t="s">
        <v>288</v>
      </c>
      <c r="AH73" s="16"/>
    </row>
    <row r="74" spans="1:34" s="4" customFormat="1">
      <c r="A74" s="161"/>
      <c r="B74" s="84">
        <f t="shared" ref="B74:B105" si="2">IF(C74="","",C74)</f>
        <v>45870</v>
      </c>
      <c r="C74" s="162">
        <v>45870</v>
      </c>
      <c r="D74" s="163">
        <v>0</v>
      </c>
      <c r="E74" s="163"/>
      <c r="F74" s="167"/>
      <c r="G74" s="69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5"/>
      <c r="Y74" s="165"/>
      <c r="Z74" s="164"/>
      <c r="AA74" s="166"/>
      <c r="AB74" s="165"/>
      <c r="AC74" s="165"/>
      <c r="AD74" s="164"/>
      <c r="AE74" s="165"/>
      <c r="AF74" s="164"/>
      <c r="AG74" s="167"/>
      <c r="AH74" s="16"/>
    </row>
    <row r="75" spans="1:34" ht="26.4">
      <c r="A75" s="51" t="s">
        <v>83</v>
      </c>
      <c r="B75" s="84">
        <f t="shared" si="2"/>
        <v>45870</v>
      </c>
      <c r="C75" s="83">
        <v>45870</v>
      </c>
      <c r="D75" s="261" t="s">
        <v>212</v>
      </c>
      <c r="E75" s="52" t="s">
        <v>296</v>
      </c>
      <c r="F75" s="100">
        <v>41031</v>
      </c>
      <c r="G75" s="101" t="s">
        <v>297</v>
      </c>
      <c r="H75" s="29" t="s">
        <v>298</v>
      </c>
      <c r="I75" s="30">
        <v>1</v>
      </c>
      <c r="J75" s="30">
        <v>1</v>
      </c>
      <c r="K75" s="30">
        <v>1</v>
      </c>
      <c r="L75" s="18"/>
      <c r="M75" s="18"/>
      <c r="N75" s="18"/>
      <c r="O75" s="160">
        <v>1</v>
      </c>
      <c r="P75" s="160">
        <v>1</v>
      </c>
      <c r="Q75" s="18"/>
      <c r="R75" s="108"/>
      <c r="S75" s="18"/>
      <c r="T75" s="18"/>
      <c r="U75" s="18"/>
      <c r="V75" s="18"/>
      <c r="W75" s="18"/>
      <c r="X75" s="28">
        <v>5</v>
      </c>
      <c r="Y75" s="28"/>
      <c r="Z75" s="74" t="s">
        <v>291</v>
      </c>
      <c r="AA75" s="103">
        <v>0.05</v>
      </c>
      <c r="AB75" s="75"/>
      <c r="AC75" s="75"/>
      <c r="AD75" s="74" t="s">
        <v>115</v>
      </c>
      <c r="AE75" s="103">
        <v>1</v>
      </c>
      <c r="AF75" s="18" t="s">
        <v>251</v>
      </c>
      <c r="AG75" s="110" t="s">
        <v>286</v>
      </c>
      <c r="AH75" s="16"/>
    </row>
    <row r="76" spans="1:34" ht="26.4">
      <c r="A76" s="51" t="s">
        <v>83</v>
      </c>
      <c r="B76" s="84">
        <f t="shared" si="2"/>
        <v>45870</v>
      </c>
      <c r="C76" s="83">
        <v>45870</v>
      </c>
      <c r="D76" s="261" t="s">
        <v>240</v>
      </c>
      <c r="E76" s="52" t="s">
        <v>241</v>
      </c>
      <c r="F76" s="100">
        <v>41063</v>
      </c>
      <c r="G76" s="116" t="s">
        <v>301</v>
      </c>
      <c r="H76" s="29" t="s">
        <v>302</v>
      </c>
      <c r="I76" s="29"/>
      <c r="J76" s="29"/>
      <c r="K76" s="29"/>
      <c r="L76" s="18"/>
      <c r="M76" s="18"/>
      <c r="N76" s="81">
        <v>1</v>
      </c>
      <c r="O76" s="18"/>
      <c r="P76" s="18"/>
      <c r="Q76" s="18"/>
      <c r="R76" s="18"/>
      <c r="S76" s="18"/>
      <c r="T76" s="18"/>
      <c r="U76" s="18"/>
      <c r="V76" s="18"/>
      <c r="W76" s="18"/>
      <c r="X76" s="28">
        <v>5</v>
      </c>
      <c r="Y76" s="28"/>
      <c r="Z76" s="74"/>
      <c r="AA76" s="103"/>
      <c r="AB76" s="75"/>
      <c r="AC76" s="75"/>
      <c r="AD76" s="75" t="s">
        <v>303</v>
      </c>
      <c r="AE76" s="103">
        <v>1</v>
      </c>
      <c r="AF76" s="18" t="s">
        <v>251</v>
      </c>
      <c r="AG76" s="110" t="s">
        <v>304</v>
      </c>
      <c r="AH76" s="16"/>
    </row>
    <row r="77" spans="1:34">
      <c r="A77" s="51" t="s">
        <v>83</v>
      </c>
      <c r="B77" s="84">
        <f t="shared" si="2"/>
        <v>45870</v>
      </c>
      <c r="C77" s="129">
        <v>45870</v>
      </c>
      <c r="D77" s="52" t="s">
        <v>240</v>
      </c>
      <c r="E77" s="52" t="s">
        <v>144</v>
      </c>
      <c r="F77" s="243">
        <v>46833</v>
      </c>
      <c r="G77" s="244" t="s">
        <v>299</v>
      </c>
      <c r="H77" s="111" t="s">
        <v>300</v>
      </c>
      <c r="I77" s="111"/>
      <c r="J77" s="111"/>
      <c r="K77" s="111"/>
      <c r="L77" s="52"/>
      <c r="M77" s="52"/>
      <c r="N77" s="52"/>
      <c r="O77" s="52"/>
      <c r="P77" s="52"/>
      <c r="Q77" s="52"/>
      <c r="R77" s="52"/>
      <c r="S77" s="250" t="s">
        <v>264</v>
      </c>
      <c r="T77" s="250" t="s">
        <v>264</v>
      </c>
      <c r="U77" s="52"/>
      <c r="V77" s="52"/>
      <c r="W77" s="52"/>
      <c r="X77" s="187">
        <v>5</v>
      </c>
      <c r="Y77" s="187"/>
      <c r="Z77" s="52" t="s">
        <v>94</v>
      </c>
      <c r="AA77" s="98">
        <v>0.12</v>
      </c>
      <c r="AB77" s="187"/>
      <c r="AC77" s="187"/>
      <c r="AD77" s="52" t="s">
        <v>177</v>
      </c>
      <c r="AE77" s="98">
        <v>1</v>
      </c>
      <c r="AF77" s="52" t="s">
        <v>196</v>
      </c>
      <c r="AG77" s="110" t="s">
        <v>160</v>
      </c>
      <c r="AH77" s="16"/>
    </row>
    <row r="78" spans="1:34" s="4" customFormat="1">
      <c r="A78" s="51" t="s">
        <v>83</v>
      </c>
      <c r="B78" s="84">
        <f t="shared" si="2"/>
        <v>45870</v>
      </c>
      <c r="C78" s="83">
        <v>45870</v>
      </c>
      <c r="D78" s="52" t="s">
        <v>305</v>
      </c>
      <c r="E78" s="52" t="s">
        <v>190</v>
      </c>
      <c r="F78" s="184">
        <v>44441</v>
      </c>
      <c r="G78" s="233" t="s">
        <v>306</v>
      </c>
      <c r="H78" s="111" t="s">
        <v>161</v>
      </c>
      <c r="I78" s="234" t="s">
        <v>99</v>
      </c>
      <c r="J78" s="52"/>
      <c r="K78" s="234" t="s">
        <v>99</v>
      </c>
      <c r="L78" s="239">
        <v>3</v>
      </c>
      <c r="M78" s="239">
        <v>5</v>
      </c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187">
        <v>5</v>
      </c>
      <c r="Y78" s="187"/>
      <c r="Z78" s="71"/>
      <c r="AA78" s="235"/>
      <c r="AB78" s="177"/>
      <c r="AC78" s="177"/>
      <c r="AD78" s="71" t="s">
        <v>115</v>
      </c>
      <c r="AE78" s="235">
        <v>1</v>
      </c>
      <c r="AF78" s="52" t="s">
        <v>71</v>
      </c>
      <c r="AG78" s="73" t="s">
        <v>307</v>
      </c>
      <c r="AH78" s="16"/>
    </row>
    <row r="79" spans="1:34" s="4" customFormat="1">
      <c r="A79" s="121"/>
      <c r="B79" s="84">
        <f t="shared" si="2"/>
        <v>45873</v>
      </c>
      <c r="C79" s="122">
        <v>45873</v>
      </c>
      <c r="D79" s="123">
        <v>0</v>
      </c>
      <c r="E79" s="123"/>
      <c r="F79" s="179"/>
      <c r="G79" s="70"/>
      <c r="H79" s="125"/>
      <c r="I79" s="125"/>
      <c r="J79" s="125"/>
      <c r="K79" s="125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6"/>
      <c r="Y79" s="124"/>
      <c r="Z79" s="124"/>
      <c r="AA79" s="127"/>
      <c r="AB79" s="124"/>
      <c r="AC79" s="124"/>
      <c r="AD79" s="124"/>
      <c r="AE79" s="124"/>
      <c r="AF79" s="124"/>
      <c r="AG79" s="128"/>
      <c r="AH79" s="16"/>
    </row>
    <row r="80" spans="1:34" s="6" customFormat="1">
      <c r="A80" s="51" t="s">
        <v>83</v>
      </c>
      <c r="B80" s="84">
        <f t="shared" si="2"/>
        <v>45873</v>
      </c>
      <c r="C80" s="83">
        <v>45873</v>
      </c>
      <c r="D80" s="52" t="s">
        <v>270</v>
      </c>
      <c r="E80" s="18" t="s">
        <v>144</v>
      </c>
      <c r="F80" s="86">
        <v>43054</v>
      </c>
      <c r="G80" s="87" t="s">
        <v>308</v>
      </c>
      <c r="H80" s="29" t="s">
        <v>300</v>
      </c>
      <c r="I80" s="29"/>
      <c r="J80" s="29"/>
      <c r="K80" s="29"/>
      <c r="L80" s="18"/>
      <c r="M80" s="18"/>
      <c r="N80" s="18"/>
      <c r="O80" s="88" t="s">
        <v>309</v>
      </c>
      <c r="P80" s="88">
        <v>4</v>
      </c>
      <c r="Q80" s="18"/>
      <c r="R80" s="89"/>
      <c r="S80" s="18"/>
      <c r="T80" s="18"/>
      <c r="U80" s="18"/>
      <c r="V80" s="18"/>
      <c r="W80" s="18"/>
      <c r="X80" s="18">
        <v>5</v>
      </c>
      <c r="Y80" s="18"/>
      <c r="Z80" s="18"/>
      <c r="AA80" s="90"/>
      <c r="AB80" s="18" t="s">
        <v>310</v>
      </c>
      <c r="AC80" s="90">
        <v>0.5</v>
      </c>
      <c r="AD80" s="18" t="s">
        <v>115</v>
      </c>
      <c r="AE80" s="90">
        <v>0.5</v>
      </c>
      <c r="AF80" s="18" t="s">
        <v>71</v>
      </c>
      <c r="AG80" s="94" t="s">
        <v>160</v>
      </c>
      <c r="AH80" s="16"/>
    </row>
    <row r="81" spans="1:34" s="7" customFormat="1" ht="26.4">
      <c r="A81" s="51" t="s">
        <v>83</v>
      </c>
      <c r="B81" s="84">
        <f t="shared" si="2"/>
        <v>45873</v>
      </c>
      <c r="C81" s="129">
        <v>45873</v>
      </c>
      <c r="D81" s="52" t="s">
        <v>270</v>
      </c>
      <c r="E81" s="52" t="s">
        <v>311</v>
      </c>
      <c r="F81" s="86">
        <v>46836</v>
      </c>
      <c r="G81" s="87" t="s">
        <v>312</v>
      </c>
      <c r="H81" s="117" t="s">
        <v>313</v>
      </c>
      <c r="I81" s="117"/>
      <c r="J81" s="117"/>
      <c r="K81" s="117"/>
      <c r="L81" s="18"/>
      <c r="M81" s="18"/>
      <c r="N81" s="53"/>
      <c r="O81" s="81" t="s">
        <v>78</v>
      </c>
      <c r="P81" s="18"/>
      <c r="Q81" s="18"/>
      <c r="R81" s="18"/>
      <c r="S81" s="18"/>
      <c r="T81" s="18"/>
      <c r="U81" s="18"/>
      <c r="V81" s="18"/>
      <c r="W81" s="18"/>
      <c r="X81" s="28">
        <v>5</v>
      </c>
      <c r="Y81" s="28"/>
      <c r="Z81" s="18"/>
      <c r="AA81" s="93"/>
      <c r="AB81" s="28"/>
      <c r="AC81" s="28"/>
      <c r="AD81" s="18" t="s">
        <v>115</v>
      </c>
      <c r="AE81" s="93">
        <v>1</v>
      </c>
      <c r="AF81" s="18" t="s">
        <v>244</v>
      </c>
      <c r="AG81" s="168" t="s">
        <v>87</v>
      </c>
      <c r="AH81" s="16"/>
    </row>
    <row r="82" spans="1:34" s="7" customFormat="1">
      <c r="A82" s="51" t="s">
        <v>83</v>
      </c>
      <c r="B82" s="84">
        <f t="shared" si="2"/>
        <v>45873</v>
      </c>
      <c r="C82" s="83">
        <v>45873</v>
      </c>
      <c r="D82" s="52" t="s">
        <v>260</v>
      </c>
      <c r="E82" s="18" t="s">
        <v>235</v>
      </c>
      <c r="F82" s="100">
        <v>46854</v>
      </c>
      <c r="G82" s="101" t="s">
        <v>314</v>
      </c>
      <c r="H82" s="29" t="s">
        <v>262</v>
      </c>
      <c r="I82" s="29"/>
      <c r="J82" s="29"/>
      <c r="K82" s="29"/>
      <c r="L82" s="18"/>
      <c r="M82" s="18"/>
      <c r="N82" s="18"/>
      <c r="O82" s="18"/>
      <c r="P82" s="18"/>
      <c r="Q82" s="18"/>
      <c r="R82" s="18"/>
      <c r="S82" s="78" t="s">
        <v>263</v>
      </c>
      <c r="T82" s="78" t="s">
        <v>99</v>
      </c>
      <c r="U82" s="80" t="s">
        <v>99</v>
      </c>
      <c r="V82" s="79" t="s">
        <v>264</v>
      </c>
      <c r="W82" s="18"/>
      <c r="X82" s="28">
        <v>5</v>
      </c>
      <c r="Y82" s="28"/>
      <c r="Z82" s="18"/>
      <c r="AA82" s="93"/>
      <c r="AB82" s="18" t="s">
        <v>265</v>
      </c>
      <c r="AC82" s="93">
        <v>0.4</v>
      </c>
      <c r="AD82" s="18" t="s">
        <v>115</v>
      </c>
      <c r="AE82" s="93">
        <v>0.6</v>
      </c>
      <c r="AF82" s="18" t="s">
        <v>71</v>
      </c>
      <c r="AG82" s="72" t="s">
        <v>315</v>
      </c>
      <c r="AH82" s="16"/>
    </row>
    <row r="83" spans="1:34" ht="66">
      <c r="A83" s="51" t="s">
        <v>83</v>
      </c>
      <c r="B83" s="84">
        <f t="shared" si="2"/>
        <v>45873</v>
      </c>
      <c r="C83" s="83">
        <v>45873</v>
      </c>
      <c r="D83" s="261" t="s">
        <v>305</v>
      </c>
      <c r="E83" s="52" t="s">
        <v>316</v>
      </c>
      <c r="F83" s="86">
        <v>46832</v>
      </c>
      <c r="G83" s="87" t="s">
        <v>317</v>
      </c>
      <c r="H83" s="29" t="s">
        <v>318</v>
      </c>
      <c r="I83" s="30">
        <v>4</v>
      </c>
      <c r="J83" s="30">
        <v>4</v>
      </c>
      <c r="K83" s="30">
        <v>4</v>
      </c>
      <c r="L83" s="77">
        <v>4</v>
      </c>
      <c r="M83" s="77">
        <v>4</v>
      </c>
      <c r="N83" s="286" t="s">
        <v>99</v>
      </c>
      <c r="O83" s="88">
        <v>2</v>
      </c>
      <c r="P83" s="88">
        <v>2</v>
      </c>
      <c r="Q83" s="89">
        <v>4</v>
      </c>
      <c r="R83" s="89">
        <v>4</v>
      </c>
      <c r="S83" s="18"/>
      <c r="T83" s="18"/>
      <c r="U83" s="18"/>
      <c r="V83" s="18"/>
      <c r="W83" s="18"/>
      <c r="X83" s="28">
        <v>5</v>
      </c>
      <c r="Y83" s="28"/>
      <c r="Z83" s="18" t="s">
        <v>319</v>
      </c>
      <c r="AA83" s="93">
        <v>0.1</v>
      </c>
      <c r="AB83" s="28"/>
      <c r="AC83" s="28"/>
      <c r="AD83" s="18" t="s">
        <v>115</v>
      </c>
      <c r="AE83" s="93">
        <v>1</v>
      </c>
      <c r="AF83" s="18" t="s">
        <v>320</v>
      </c>
      <c r="AG83" s="110" t="s">
        <v>321</v>
      </c>
      <c r="AH83" s="16"/>
    </row>
    <row r="84" spans="1:34">
      <c r="A84" s="161"/>
      <c r="B84" s="84">
        <f t="shared" si="2"/>
        <v>45874</v>
      </c>
      <c r="C84" s="162">
        <v>45874</v>
      </c>
      <c r="D84" s="163">
        <v>0</v>
      </c>
      <c r="E84" s="163"/>
      <c r="F84" s="164"/>
      <c r="G84" s="69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5"/>
      <c r="Y84" s="165"/>
      <c r="Z84" s="164"/>
      <c r="AA84" s="166"/>
      <c r="AB84" s="165"/>
      <c r="AC84" s="165"/>
      <c r="AD84" s="164"/>
      <c r="AE84" s="165"/>
      <c r="AF84" s="164"/>
      <c r="AG84" s="167"/>
      <c r="AH84" s="16"/>
    </row>
    <row r="85" spans="1:34" ht="66">
      <c r="A85" s="51" t="s">
        <v>83</v>
      </c>
      <c r="B85" s="84">
        <f t="shared" si="2"/>
        <v>45874</v>
      </c>
      <c r="C85" s="83">
        <v>45874</v>
      </c>
      <c r="D85" s="52" t="s">
        <v>322</v>
      </c>
      <c r="E85" s="52" t="s">
        <v>316</v>
      </c>
      <c r="F85" s="86">
        <v>42064</v>
      </c>
      <c r="G85" s="87" t="s">
        <v>323</v>
      </c>
      <c r="H85" s="29" t="s">
        <v>304</v>
      </c>
      <c r="I85" s="29"/>
      <c r="J85" s="29"/>
      <c r="K85" s="29"/>
      <c r="L85" s="18"/>
      <c r="M85" s="18"/>
      <c r="N85" s="81">
        <v>2</v>
      </c>
      <c r="O85" s="18"/>
      <c r="P85" s="18"/>
      <c r="Q85" s="18"/>
      <c r="R85" s="18"/>
      <c r="S85" s="18"/>
      <c r="T85" s="18"/>
      <c r="U85" s="18"/>
      <c r="V85" s="18"/>
      <c r="W85" s="18"/>
      <c r="X85" s="28">
        <v>5</v>
      </c>
      <c r="Y85" s="28"/>
      <c r="Z85" s="18"/>
      <c r="AA85" s="93"/>
      <c r="AB85" s="28"/>
      <c r="AC85" s="28"/>
      <c r="AD85" s="18" t="s">
        <v>115</v>
      </c>
      <c r="AE85" s="93">
        <v>1</v>
      </c>
      <c r="AF85" s="18" t="s">
        <v>324</v>
      </c>
      <c r="AG85" s="94" t="s">
        <v>302</v>
      </c>
      <c r="AH85" s="16"/>
    </row>
    <row r="86" spans="1:34" ht="66">
      <c r="A86" s="51" t="s">
        <v>83</v>
      </c>
      <c r="B86" s="84">
        <f t="shared" si="2"/>
        <v>45874</v>
      </c>
      <c r="C86" s="83">
        <v>45874</v>
      </c>
      <c r="D86" s="52" t="s">
        <v>322</v>
      </c>
      <c r="E86" s="52" t="s">
        <v>316</v>
      </c>
      <c r="F86" s="100">
        <v>41064</v>
      </c>
      <c r="G86" s="101" t="s">
        <v>145</v>
      </c>
      <c r="H86" s="29" t="s">
        <v>304</v>
      </c>
      <c r="I86" s="30">
        <v>1</v>
      </c>
      <c r="J86" s="30">
        <v>1</v>
      </c>
      <c r="K86" s="30">
        <v>1</v>
      </c>
      <c r="L86" s="77">
        <v>1</v>
      </c>
      <c r="M86" s="77">
        <v>1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>
        <v>5</v>
      </c>
      <c r="Y86" s="28"/>
      <c r="Z86" s="18"/>
      <c r="AA86" s="93"/>
      <c r="AB86" s="28"/>
      <c r="AC86" s="28"/>
      <c r="AD86" s="18" t="s">
        <v>115</v>
      </c>
      <c r="AE86" s="93">
        <v>1</v>
      </c>
      <c r="AF86" s="18" t="s">
        <v>324</v>
      </c>
      <c r="AG86" s="110" t="s">
        <v>151</v>
      </c>
      <c r="AH86" s="16"/>
    </row>
    <row r="87" spans="1:34" s="4" customFormat="1">
      <c r="A87" s="51" t="s">
        <v>83</v>
      </c>
      <c r="B87" s="84">
        <f t="shared" si="2"/>
        <v>45874</v>
      </c>
      <c r="C87" s="83">
        <v>45874</v>
      </c>
      <c r="D87" s="52" t="s">
        <v>325</v>
      </c>
      <c r="E87" s="274" t="s">
        <v>174</v>
      </c>
      <c r="F87" s="86">
        <v>46866</v>
      </c>
      <c r="G87" s="87" t="s">
        <v>327</v>
      </c>
      <c r="H87" s="29" t="s">
        <v>328</v>
      </c>
      <c r="I87" s="29"/>
      <c r="J87" s="29"/>
      <c r="K87" s="29"/>
      <c r="L87" s="18"/>
      <c r="M87" s="18"/>
      <c r="N87" s="18"/>
      <c r="O87" s="18"/>
      <c r="P87" s="18"/>
      <c r="Q87" s="18"/>
      <c r="R87" s="18"/>
      <c r="S87" s="78" t="s">
        <v>150</v>
      </c>
      <c r="T87" s="78" t="s">
        <v>150</v>
      </c>
      <c r="U87" s="80" t="s">
        <v>150</v>
      </c>
      <c r="V87" s="18"/>
      <c r="W87" s="18"/>
      <c r="X87" s="28">
        <v>5</v>
      </c>
      <c r="Y87" s="28"/>
      <c r="Z87" s="18"/>
      <c r="AA87" s="93"/>
      <c r="AB87" s="28"/>
      <c r="AC87" s="28"/>
      <c r="AD87" s="28" t="s">
        <v>115</v>
      </c>
      <c r="AE87" s="93">
        <v>1</v>
      </c>
      <c r="AF87" s="18" t="s">
        <v>251</v>
      </c>
      <c r="AG87" s="110" t="s">
        <v>329</v>
      </c>
      <c r="AH87" s="285" t="s">
        <v>704</v>
      </c>
    </row>
    <row r="88" spans="1:34">
      <c r="A88" s="51" t="s">
        <v>83</v>
      </c>
      <c r="B88" s="84">
        <f t="shared" si="2"/>
        <v>45874</v>
      </c>
      <c r="C88" s="83">
        <v>45874</v>
      </c>
      <c r="D88" s="52" t="s">
        <v>325</v>
      </c>
      <c r="E88" s="52" t="s">
        <v>174</v>
      </c>
      <c r="F88" s="86">
        <v>46889</v>
      </c>
      <c r="G88" s="87" t="s">
        <v>330</v>
      </c>
      <c r="H88" s="29" t="s">
        <v>328</v>
      </c>
      <c r="I88" s="30" t="s">
        <v>99</v>
      </c>
      <c r="J88" s="30" t="s">
        <v>99</v>
      </c>
      <c r="K88" s="30" t="s">
        <v>99</v>
      </c>
      <c r="L88" s="77" t="s">
        <v>99</v>
      </c>
      <c r="M88" s="77" t="s">
        <v>99</v>
      </c>
      <c r="N88" s="18"/>
      <c r="O88" s="88" t="s">
        <v>331</v>
      </c>
      <c r="P88" s="88" t="s">
        <v>331</v>
      </c>
      <c r="Q88" s="31" t="s">
        <v>99</v>
      </c>
      <c r="R88" s="31" t="s">
        <v>99</v>
      </c>
      <c r="S88" s="18"/>
      <c r="T88" s="18"/>
      <c r="U88" s="18"/>
      <c r="V88" s="18"/>
      <c r="W88" s="18"/>
      <c r="X88" s="28">
        <v>5</v>
      </c>
      <c r="Y88" s="28"/>
      <c r="Z88" s="18"/>
      <c r="AA88" s="93"/>
      <c r="AB88" s="28"/>
      <c r="AC88" s="28"/>
      <c r="AD88" s="28" t="s">
        <v>115</v>
      </c>
      <c r="AE88" s="93">
        <v>1</v>
      </c>
      <c r="AF88" s="18" t="s">
        <v>251</v>
      </c>
      <c r="AG88" s="110" t="s">
        <v>72</v>
      </c>
      <c r="AH88" s="16"/>
    </row>
    <row r="89" spans="1:34">
      <c r="A89" s="51" t="s">
        <v>83</v>
      </c>
      <c r="B89" s="84">
        <f t="shared" si="2"/>
        <v>45874</v>
      </c>
      <c r="C89" s="83">
        <v>45874</v>
      </c>
      <c r="D89" s="261" t="s">
        <v>162</v>
      </c>
      <c r="E89" s="52" t="s">
        <v>174</v>
      </c>
      <c r="F89" s="100">
        <v>43052</v>
      </c>
      <c r="G89" s="116" t="s">
        <v>277</v>
      </c>
      <c r="H89" s="29" t="s">
        <v>278</v>
      </c>
      <c r="I89" s="30">
        <v>3</v>
      </c>
      <c r="J89" s="30">
        <v>3</v>
      </c>
      <c r="K89" s="30">
        <v>3</v>
      </c>
      <c r="L89" s="18"/>
      <c r="M89" s="18"/>
      <c r="N89" s="18"/>
      <c r="O89" s="88">
        <v>3</v>
      </c>
      <c r="P89" s="88">
        <v>3</v>
      </c>
      <c r="Q89" s="89"/>
      <c r="R89" s="89"/>
      <c r="S89" s="18"/>
      <c r="T89" s="18"/>
      <c r="U89" s="18"/>
      <c r="V89" s="18"/>
      <c r="W89" s="18"/>
      <c r="X89" s="28">
        <v>5</v>
      </c>
      <c r="Y89" s="28"/>
      <c r="Z89" s="18" t="s">
        <v>94</v>
      </c>
      <c r="AA89" s="93">
        <v>0.08</v>
      </c>
      <c r="AB89" s="18" t="s">
        <v>287</v>
      </c>
      <c r="AC89" s="93">
        <v>0.2</v>
      </c>
      <c r="AD89" s="28" t="s">
        <v>81</v>
      </c>
      <c r="AE89" s="93">
        <v>0.8</v>
      </c>
      <c r="AF89" s="18" t="s">
        <v>71</v>
      </c>
      <c r="AG89" s="110" t="s">
        <v>290</v>
      </c>
      <c r="AH89" s="16"/>
    </row>
    <row r="90" spans="1:34" s="13" customFormat="1" ht="13.8">
      <c r="A90" s="161"/>
      <c r="B90" s="84">
        <f t="shared" si="2"/>
        <v>45875</v>
      </c>
      <c r="C90" s="162">
        <v>45875</v>
      </c>
      <c r="D90" s="163">
        <v>0</v>
      </c>
      <c r="E90" s="163"/>
      <c r="F90" s="164"/>
      <c r="G90" s="69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5"/>
      <c r="Y90" s="165"/>
      <c r="Z90" s="164"/>
      <c r="AA90" s="166"/>
      <c r="AB90" s="165"/>
      <c r="AC90" s="165"/>
      <c r="AD90" s="164"/>
      <c r="AE90" s="165"/>
      <c r="AF90" s="164"/>
      <c r="AG90" s="167"/>
      <c r="AH90" s="16"/>
    </row>
    <row r="91" spans="1:34" ht="26.4">
      <c r="A91" s="51" t="s">
        <v>83</v>
      </c>
      <c r="B91" s="84">
        <f t="shared" si="2"/>
        <v>45875</v>
      </c>
      <c r="C91" s="83">
        <v>45875</v>
      </c>
      <c r="D91" s="263" t="s">
        <v>322</v>
      </c>
      <c r="E91" s="52" t="s">
        <v>241</v>
      </c>
      <c r="F91" s="86">
        <v>46812</v>
      </c>
      <c r="G91" s="87" t="s">
        <v>332</v>
      </c>
      <c r="H91" s="29" t="s">
        <v>278</v>
      </c>
      <c r="I91" s="30">
        <v>4</v>
      </c>
      <c r="J91" s="30" t="s">
        <v>99</v>
      </c>
      <c r="K91" s="18"/>
      <c r="L91" s="77" t="s">
        <v>99</v>
      </c>
      <c r="M91" s="77" t="s">
        <v>99</v>
      </c>
      <c r="N91" s="81" t="s">
        <v>99</v>
      </c>
      <c r="O91" s="88" t="s">
        <v>331</v>
      </c>
      <c r="P91" s="88" t="s">
        <v>99</v>
      </c>
      <c r="Q91" s="31" t="s">
        <v>99</v>
      </c>
      <c r="R91" s="31" t="s">
        <v>99</v>
      </c>
      <c r="S91" s="18"/>
      <c r="T91" s="18"/>
      <c r="U91" s="18"/>
      <c r="V91" s="18"/>
      <c r="W91" s="18"/>
      <c r="X91" s="28">
        <v>5</v>
      </c>
      <c r="Y91" s="28"/>
      <c r="Z91" s="18" t="s">
        <v>94</v>
      </c>
      <c r="AA91" s="93">
        <v>0.08</v>
      </c>
      <c r="AB91" s="18"/>
      <c r="AC91" s="93"/>
      <c r="AD91" s="28" t="s">
        <v>115</v>
      </c>
      <c r="AE91" s="93">
        <v>1</v>
      </c>
      <c r="AF91" s="18" t="s">
        <v>71</v>
      </c>
      <c r="AG91" s="110" t="s">
        <v>290</v>
      </c>
      <c r="AH91" s="16"/>
    </row>
    <row r="92" spans="1:34" ht="26.4">
      <c r="A92" s="51" t="s">
        <v>83</v>
      </c>
      <c r="B92" s="84">
        <f t="shared" si="2"/>
        <v>45875</v>
      </c>
      <c r="C92" s="83">
        <v>45875</v>
      </c>
      <c r="D92" s="52" t="s">
        <v>333</v>
      </c>
      <c r="E92" s="52" t="s">
        <v>144</v>
      </c>
      <c r="F92" s="100">
        <v>46890</v>
      </c>
      <c r="G92" s="116" t="s">
        <v>334</v>
      </c>
      <c r="H92" s="29" t="s">
        <v>335</v>
      </c>
      <c r="I92" s="30" t="s">
        <v>336</v>
      </c>
      <c r="J92" s="30" t="s">
        <v>99</v>
      </c>
      <c r="K92" s="30" t="s">
        <v>99</v>
      </c>
      <c r="L92" s="77" t="s">
        <v>99</v>
      </c>
      <c r="M92" s="77" t="s">
        <v>99</v>
      </c>
      <c r="N92" s="18"/>
      <c r="O92" s="88" t="s">
        <v>182</v>
      </c>
      <c r="P92" s="88" t="s">
        <v>182</v>
      </c>
      <c r="Q92" s="31">
        <v>7</v>
      </c>
      <c r="R92" s="31" t="s">
        <v>99</v>
      </c>
      <c r="S92" s="18"/>
      <c r="T92" s="18"/>
      <c r="U92" s="18"/>
      <c r="V92" s="18"/>
      <c r="W92" s="18"/>
      <c r="X92" s="28">
        <v>5</v>
      </c>
      <c r="Y92" s="28"/>
      <c r="Z92" s="18" t="s">
        <v>259</v>
      </c>
      <c r="AA92" s="93">
        <v>0.1</v>
      </c>
      <c r="AB92" s="28"/>
      <c r="AC92" s="28"/>
      <c r="AD92" s="28" t="s">
        <v>115</v>
      </c>
      <c r="AE92" s="93">
        <v>1</v>
      </c>
      <c r="AF92" s="18" t="s">
        <v>71</v>
      </c>
      <c r="AG92" s="110" t="s">
        <v>337</v>
      </c>
      <c r="AH92" s="16"/>
    </row>
    <row r="93" spans="1:34">
      <c r="A93" s="169"/>
      <c r="B93" s="84">
        <f t="shared" si="2"/>
        <v>45876</v>
      </c>
      <c r="C93" s="162">
        <v>45876</v>
      </c>
      <c r="D93" s="163">
        <v>0</v>
      </c>
      <c r="E93" s="163"/>
      <c r="F93" s="164"/>
      <c r="G93" s="69"/>
      <c r="H93" s="170"/>
      <c r="I93" s="170"/>
      <c r="J93" s="170"/>
      <c r="K93" s="170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5"/>
      <c r="Y93" s="164"/>
      <c r="Z93" s="164"/>
      <c r="AA93" s="171"/>
      <c r="AB93" s="164"/>
      <c r="AC93" s="164"/>
      <c r="AD93" s="164"/>
      <c r="AE93" s="164"/>
      <c r="AF93" s="164"/>
      <c r="AG93" s="172"/>
      <c r="AH93" s="16"/>
    </row>
    <row r="94" spans="1:34" s="4" customFormat="1">
      <c r="A94" s="51" t="s">
        <v>83</v>
      </c>
      <c r="B94" s="84">
        <f t="shared" si="2"/>
        <v>45876</v>
      </c>
      <c r="C94" s="83">
        <v>45876</v>
      </c>
      <c r="D94" s="52" t="s">
        <v>322</v>
      </c>
      <c r="E94" s="52" t="s">
        <v>174</v>
      </c>
      <c r="F94" s="86">
        <v>41066</v>
      </c>
      <c r="G94" s="87" t="s">
        <v>338</v>
      </c>
      <c r="H94" s="29" t="s">
        <v>146</v>
      </c>
      <c r="I94" s="29"/>
      <c r="J94" s="29"/>
      <c r="K94" s="29"/>
      <c r="L94" s="18"/>
      <c r="M94" s="18"/>
      <c r="N94" s="18"/>
      <c r="O94" s="160">
        <v>2</v>
      </c>
      <c r="P94" s="160">
        <v>2</v>
      </c>
      <c r="Q94" s="18"/>
      <c r="R94" s="18"/>
      <c r="S94" s="18"/>
      <c r="T94" s="18"/>
      <c r="U94" s="18"/>
      <c r="V94" s="18"/>
      <c r="W94" s="18"/>
      <c r="X94" s="28">
        <v>5</v>
      </c>
      <c r="Y94" s="28"/>
      <c r="Z94" s="18"/>
      <c r="AA94" s="93"/>
      <c r="AB94" s="28"/>
      <c r="AC94" s="28"/>
      <c r="AD94" s="18" t="s">
        <v>115</v>
      </c>
      <c r="AE94" s="93">
        <v>1</v>
      </c>
      <c r="AF94" s="18" t="s">
        <v>147</v>
      </c>
      <c r="AG94" s="110" t="s">
        <v>151</v>
      </c>
      <c r="AH94" s="16"/>
    </row>
    <row r="95" spans="1:34" ht="26.4">
      <c r="A95" s="51" t="s">
        <v>83</v>
      </c>
      <c r="B95" s="84">
        <f t="shared" si="2"/>
        <v>45876</v>
      </c>
      <c r="C95" s="83">
        <v>45876</v>
      </c>
      <c r="D95" s="52" t="s">
        <v>260</v>
      </c>
      <c r="E95" s="52" t="s">
        <v>144</v>
      </c>
      <c r="F95" s="100">
        <v>43212</v>
      </c>
      <c r="G95" s="101" t="s">
        <v>339</v>
      </c>
      <c r="H95" s="29" t="s">
        <v>278</v>
      </c>
      <c r="I95" s="18"/>
      <c r="J95" s="30">
        <v>3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>
        <v>5</v>
      </c>
      <c r="Y95" s="28"/>
      <c r="Z95" s="18" t="s">
        <v>340</v>
      </c>
      <c r="AA95" s="93">
        <v>0.15</v>
      </c>
      <c r="AB95" s="28"/>
      <c r="AC95" s="28"/>
      <c r="AD95" s="18" t="s">
        <v>115</v>
      </c>
      <c r="AE95" s="93">
        <v>1</v>
      </c>
      <c r="AF95" s="18" t="s">
        <v>341</v>
      </c>
      <c r="AG95" s="72" t="s">
        <v>342</v>
      </c>
      <c r="AH95" s="16"/>
    </row>
    <row r="96" spans="1:34" ht="26.4">
      <c r="A96" s="51" t="s">
        <v>83</v>
      </c>
      <c r="B96" s="84">
        <f t="shared" si="2"/>
        <v>45876</v>
      </c>
      <c r="C96" s="83">
        <v>45876</v>
      </c>
      <c r="D96" s="52" t="s">
        <v>305</v>
      </c>
      <c r="E96" s="52" t="s">
        <v>144</v>
      </c>
      <c r="F96" s="100">
        <v>46809</v>
      </c>
      <c r="G96" s="101" t="s">
        <v>343</v>
      </c>
      <c r="H96" s="29" t="s">
        <v>344</v>
      </c>
      <c r="I96" s="30" t="s">
        <v>99</v>
      </c>
      <c r="J96" s="30" t="s">
        <v>99</v>
      </c>
      <c r="K96" s="30" t="s">
        <v>345</v>
      </c>
      <c r="L96" s="77" t="s">
        <v>99</v>
      </c>
      <c r="M96" s="77" t="s">
        <v>99</v>
      </c>
      <c r="N96" s="18"/>
      <c r="O96" s="88" t="s">
        <v>331</v>
      </c>
      <c r="P96" s="88" t="s">
        <v>99</v>
      </c>
      <c r="Q96" s="31" t="s">
        <v>99</v>
      </c>
      <c r="R96" s="31" t="s">
        <v>99</v>
      </c>
      <c r="S96" s="18"/>
      <c r="T96" s="18"/>
      <c r="U96" s="18"/>
      <c r="V96" s="18"/>
      <c r="W96" s="18"/>
      <c r="X96" s="28">
        <v>5</v>
      </c>
      <c r="Y96" s="28"/>
      <c r="Z96" s="18"/>
      <c r="AA96" s="93"/>
      <c r="AB96" s="28"/>
      <c r="AC96" s="28"/>
      <c r="AD96" s="18" t="s">
        <v>115</v>
      </c>
      <c r="AE96" s="93">
        <v>1</v>
      </c>
      <c r="AF96" s="18" t="s">
        <v>178</v>
      </c>
      <c r="AG96" s="110" t="s">
        <v>148</v>
      </c>
      <c r="AH96" s="16"/>
    </row>
    <row r="97" spans="1:34" s="4" customFormat="1">
      <c r="A97" s="161"/>
      <c r="B97" s="84">
        <f t="shared" si="2"/>
        <v>45877</v>
      </c>
      <c r="C97" s="162">
        <v>45877</v>
      </c>
      <c r="D97" s="163">
        <v>0</v>
      </c>
      <c r="E97" s="163"/>
      <c r="F97" s="164"/>
      <c r="G97" s="69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5"/>
      <c r="Y97" s="165"/>
      <c r="Z97" s="164"/>
      <c r="AA97" s="166"/>
      <c r="AB97" s="165"/>
      <c r="AC97" s="165"/>
      <c r="AD97" s="164"/>
      <c r="AE97" s="165"/>
      <c r="AF97" s="164"/>
      <c r="AG97" s="167"/>
      <c r="AH97" s="16"/>
    </row>
    <row r="98" spans="1:34" ht="52.8">
      <c r="A98" s="51" t="s">
        <v>83</v>
      </c>
      <c r="B98" s="84">
        <f t="shared" si="2"/>
        <v>45877</v>
      </c>
      <c r="C98" s="83">
        <v>45877</v>
      </c>
      <c r="D98" s="261" t="s">
        <v>173</v>
      </c>
      <c r="E98" s="18" t="s">
        <v>141</v>
      </c>
      <c r="F98" s="100">
        <v>43024</v>
      </c>
      <c r="G98" s="101" t="s">
        <v>346</v>
      </c>
      <c r="H98" s="29" t="s">
        <v>262</v>
      </c>
      <c r="I98" s="29"/>
      <c r="J98" s="29"/>
      <c r="K98" s="29"/>
      <c r="L98" s="18"/>
      <c r="M98" s="18"/>
      <c r="N98" s="81">
        <v>3</v>
      </c>
      <c r="O98" s="18"/>
      <c r="P98" s="18"/>
      <c r="Q98" s="18"/>
      <c r="R98" s="18"/>
      <c r="S98" s="18"/>
      <c r="T98" s="18"/>
      <c r="U98" s="18"/>
      <c r="V98" s="18"/>
      <c r="W98" s="18"/>
      <c r="X98" s="28">
        <v>5</v>
      </c>
      <c r="Y98" s="28"/>
      <c r="Z98" s="18" t="s">
        <v>259</v>
      </c>
      <c r="AA98" s="93">
        <v>0.15</v>
      </c>
      <c r="AB98" s="28"/>
      <c r="AC98" s="28"/>
      <c r="AD98" s="18" t="s">
        <v>347</v>
      </c>
      <c r="AE98" s="93">
        <v>1</v>
      </c>
      <c r="AF98" s="18" t="s">
        <v>71</v>
      </c>
      <c r="AG98" s="110" t="s">
        <v>348</v>
      </c>
      <c r="AH98" s="16"/>
    </row>
    <row r="99" spans="1:34" ht="26.4">
      <c r="A99" s="51" t="s">
        <v>83</v>
      </c>
      <c r="B99" s="84">
        <f t="shared" si="2"/>
        <v>45877</v>
      </c>
      <c r="C99" s="83">
        <v>45877</v>
      </c>
      <c r="D99" s="261" t="s">
        <v>173</v>
      </c>
      <c r="E99" s="277" t="s">
        <v>241</v>
      </c>
      <c r="F99" s="100">
        <v>42041</v>
      </c>
      <c r="G99" s="116" t="s">
        <v>350</v>
      </c>
      <c r="H99" s="29" t="s">
        <v>328</v>
      </c>
      <c r="I99" s="30">
        <v>1</v>
      </c>
      <c r="J99" s="30">
        <v>1</v>
      </c>
      <c r="K99" s="30">
        <v>1</v>
      </c>
      <c r="L99" s="18"/>
      <c r="M99" s="18"/>
      <c r="N99" s="18"/>
      <c r="O99" s="88">
        <v>5</v>
      </c>
      <c r="P99" s="88">
        <v>3</v>
      </c>
      <c r="Q99" s="108"/>
      <c r="R99" s="31">
        <v>5</v>
      </c>
      <c r="S99" s="18"/>
      <c r="T99" s="18"/>
      <c r="U99" s="18"/>
      <c r="V99" s="18"/>
      <c r="W99" s="18"/>
      <c r="X99" s="28">
        <v>5</v>
      </c>
      <c r="Y99" s="28"/>
      <c r="Z99" s="74" t="s">
        <v>351</v>
      </c>
      <c r="AA99" s="93">
        <v>0.1</v>
      </c>
      <c r="AB99" s="28"/>
      <c r="AC99" s="28"/>
      <c r="AD99" s="18" t="s">
        <v>177</v>
      </c>
      <c r="AE99" s="93">
        <v>1</v>
      </c>
      <c r="AF99" s="18" t="s">
        <v>71</v>
      </c>
      <c r="AG99" s="110" t="s">
        <v>304</v>
      </c>
      <c r="AH99" s="16"/>
    </row>
    <row r="100" spans="1:34" ht="26.4">
      <c r="A100" s="51" t="s">
        <v>83</v>
      </c>
      <c r="B100" s="84">
        <f t="shared" si="2"/>
        <v>45877</v>
      </c>
      <c r="C100" s="83">
        <v>45877</v>
      </c>
      <c r="D100" s="52" t="s">
        <v>349</v>
      </c>
      <c r="E100" s="52" t="s">
        <v>241</v>
      </c>
      <c r="F100" s="86">
        <v>42041</v>
      </c>
      <c r="G100" s="87" t="s">
        <v>350</v>
      </c>
      <c r="H100" s="29" t="s">
        <v>328</v>
      </c>
      <c r="I100" s="29"/>
      <c r="J100" s="29"/>
      <c r="K100" s="29"/>
      <c r="L100" s="77">
        <v>4</v>
      </c>
      <c r="M100" s="18"/>
      <c r="N100" s="18" t="s">
        <v>12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28">
        <v>5</v>
      </c>
      <c r="Y100" s="28"/>
      <c r="Z100" s="74" t="s">
        <v>351</v>
      </c>
      <c r="AA100" s="93">
        <v>0.1</v>
      </c>
      <c r="AB100" s="28" t="s">
        <v>12</v>
      </c>
      <c r="AC100" s="28"/>
      <c r="AD100" s="18" t="s">
        <v>177</v>
      </c>
      <c r="AE100" s="93">
        <v>1</v>
      </c>
      <c r="AF100" s="18" t="s">
        <v>71</v>
      </c>
      <c r="AG100" s="110" t="s">
        <v>304</v>
      </c>
      <c r="AH100" s="16"/>
    </row>
    <row r="101" spans="1:34" ht="39.6">
      <c r="A101" s="51" t="s">
        <v>83</v>
      </c>
      <c r="B101" s="84">
        <f t="shared" si="2"/>
        <v>45877</v>
      </c>
      <c r="C101" s="83">
        <v>45877</v>
      </c>
      <c r="D101" s="276" t="s">
        <v>131</v>
      </c>
      <c r="E101" s="52" t="s">
        <v>352</v>
      </c>
      <c r="F101" s="149">
        <v>46870</v>
      </c>
      <c r="G101" s="150" t="s">
        <v>353</v>
      </c>
      <c r="H101" s="29" t="s">
        <v>255</v>
      </c>
      <c r="I101" s="29"/>
      <c r="J101" s="29"/>
      <c r="K101" s="29"/>
      <c r="L101" s="18"/>
      <c r="M101" s="18"/>
      <c r="N101" s="81" t="s">
        <v>99</v>
      </c>
      <c r="O101" s="82"/>
      <c r="P101" s="82"/>
      <c r="Q101" s="82"/>
      <c r="R101" s="82"/>
      <c r="S101" s="82"/>
      <c r="T101" s="82"/>
      <c r="U101" s="82"/>
      <c r="V101" s="82"/>
      <c r="W101" s="82"/>
      <c r="X101" s="28">
        <v>5</v>
      </c>
      <c r="Y101" s="28"/>
      <c r="Z101" s="52" t="s">
        <v>283</v>
      </c>
      <c r="AA101" s="258">
        <v>0.1</v>
      </c>
      <c r="AB101" s="28" t="s">
        <v>354</v>
      </c>
      <c r="AC101" s="247">
        <v>0.5</v>
      </c>
      <c r="AD101" s="85" t="s">
        <v>81</v>
      </c>
      <c r="AE101" s="93">
        <v>0.5</v>
      </c>
      <c r="AF101" s="18"/>
      <c r="AG101" s="110" t="s">
        <v>72</v>
      </c>
      <c r="AH101" s="16"/>
    </row>
    <row r="102" spans="1:34">
      <c r="A102" s="51" t="s">
        <v>83</v>
      </c>
      <c r="B102" s="84">
        <f t="shared" si="2"/>
        <v>45877</v>
      </c>
      <c r="C102" s="83">
        <v>45877</v>
      </c>
      <c r="D102" s="288" t="s">
        <v>325</v>
      </c>
      <c r="E102" s="52" t="s">
        <v>144</v>
      </c>
      <c r="F102" s="100">
        <v>46848</v>
      </c>
      <c r="G102" s="101" t="s">
        <v>355</v>
      </c>
      <c r="H102" s="29" t="s">
        <v>335</v>
      </c>
      <c r="I102" s="29"/>
      <c r="J102" s="29"/>
      <c r="K102" s="29"/>
      <c r="L102" s="18"/>
      <c r="M102" s="18"/>
      <c r="N102" s="18"/>
      <c r="O102" s="18"/>
      <c r="P102" s="18"/>
      <c r="Q102" s="18"/>
      <c r="R102" s="18"/>
      <c r="S102" s="78" t="s">
        <v>264</v>
      </c>
      <c r="T102" s="78" t="s">
        <v>264</v>
      </c>
      <c r="U102" s="80" t="s">
        <v>99</v>
      </c>
      <c r="V102" s="79" t="s">
        <v>264</v>
      </c>
      <c r="W102" s="18"/>
      <c r="X102" s="28">
        <v>5</v>
      </c>
      <c r="Y102" s="28"/>
      <c r="Z102" s="18"/>
      <c r="AA102" s="93"/>
      <c r="AB102" s="18" t="s">
        <v>356</v>
      </c>
      <c r="AC102" s="93">
        <v>0.1</v>
      </c>
      <c r="AD102" s="18" t="s">
        <v>115</v>
      </c>
      <c r="AE102" s="93">
        <v>0.9</v>
      </c>
      <c r="AF102" s="18" t="s">
        <v>71</v>
      </c>
      <c r="AG102" s="110" t="s">
        <v>181</v>
      </c>
      <c r="AH102" s="16"/>
    </row>
    <row r="103" spans="1:34" s="4" customFormat="1">
      <c r="A103" s="51" t="s">
        <v>83</v>
      </c>
      <c r="B103" s="84">
        <f t="shared" si="2"/>
        <v>45877</v>
      </c>
      <c r="C103" s="83">
        <v>45877</v>
      </c>
      <c r="D103" s="261" t="s">
        <v>325</v>
      </c>
      <c r="E103" s="52" t="s">
        <v>144</v>
      </c>
      <c r="F103" s="104">
        <v>46848</v>
      </c>
      <c r="G103" s="105" t="s">
        <v>355</v>
      </c>
      <c r="H103" s="29" t="s">
        <v>335</v>
      </c>
      <c r="I103" s="53"/>
      <c r="J103" s="53"/>
      <c r="K103" s="53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97" t="s">
        <v>357</v>
      </c>
      <c r="X103" s="28">
        <v>6</v>
      </c>
      <c r="Y103" s="28"/>
      <c r="Z103" s="18"/>
      <c r="AA103" s="28"/>
      <c r="AB103" s="28"/>
      <c r="AC103" s="28"/>
      <c r="AD103" s="18" t="s">
        <v>115</v>
      </c>
      <c r="AE103" s="98">
        <v>1</v>
      </c>
      <c r="AF103" s="18" t="s">
        <v>71</v>
      </c>
      <c r="AG103" s="110" t="s">
        <v>181</v>
      </c>
      <c r="AH103" s="16"/>
    </row>
    <row r="104" spans="1:34" ht="26.4">
      <c r="A104" s="51" t="s">
        <v>83</v>
      </c>
      <c r="B104" s="84">
        <f t="shared" si="2"/>
        <v>45877</v>
      </c>
      <c r="C104" s="83">
        <v>45877</v>
      </c>
      <c r="D104" s="52" t="s">
        <v>305</v>
      </c>
      <c r="E104" s="52" t="s">
        <v>158</v>
      </c>
      <c r="F104" s="86">
        <v>44114</v>
      </c>
      <c r="G104" s="87" t="s">
        <v>358</v>
      </c>
      <c r="H104" s="29" t="s">
        <v>298</v>
      </c>
      <c r="I104" s="29"/>
      <c r="J104" s="30">
        <v>4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>
        <v>5</v>
      </c>
      <c r="Y104" s="28"/>
      <c r="Z104" s="18" t="s">
        <v>359</v>
      </c>
      <c r="AA104" s="93">
        <v>0.15</v>
      </c>
      <c r="AB104" s="28"/>
      <c r="AC104" s="28"/>
      <c r="AD104" s="28" t="s">
        <v>115</v>
      </c>
      <c r="AE104" s="93">
        <v>1</v>
      </c>
      <c r="AF104" s="18" t="s">
        <v>178</v>
      </c>
      <c r="AG104" s="110" t="s">
        <v>286</v>
      </c>
      <c r="AH104" s="16"/>
    </row>
    <row r="105" spans="1:34">
      <c r="A105" s="51" t="s">
        <v>83</v>
      </c>
      <c r="B105" s="84">
        <f t="shared" si="2"/>
        <v>45877</v>
      </c>
      <c r="C105" s="83">
        <v>45877</v>
      </c>
      <c r="D105" s="52" t="s">
        <v>305</v>
      </c>
      <c r="E105" s="52" t="s">
        <v>174</v>
      </c>
      <c r="F105" s="86">
        <v>42401</v>
      </c>
      <c r="G105" s="87" t="s">
        <v>360</v>
      </c>
      <c r="H105" s="29" t="s">
        <v>161</v>
      </c>
      <c r="I105" s="29"/>
      <c r="J105" s="29"/>
      <c r="K105" s="29"/>
      <c r="L105" s="77">
        <v>2</v>
      </c>
      <c r="M105" s="77">
        <v>2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>
        <v>5</v>
      </c>
      <c r="Y105" s="28"/>
      <c r="Z105" s="18"/>
      <c r="AA105" s="93"/>
      <c r="AB105" s="28"/>
      <c r="AC105" s="93"/>
      <c r="AD105" s="28" t="s">
        <v>115</v>
      </c>
      <c r="AE105" s="93">
        <v>1</v>
      </c>
      <c r="AF105" s="18" t="s">
        <v>71</v>
      </c>
      <c r="AG105" s="224" t="s">
        <v>361</v>
      </c>
      <c r="AH105" s="16"/>
    </row>
    <row r="106" spans="1:34">
      <c r="A106" s="121"/>
      <c r="B106" s="84">
        <f t="shared" ref="B106:B137" si="3">IF(C106="","",C106)</f>
        <v>45880</v>
      </c>
      <c r="C106" s="122">
        <v>45880</v>
      </c>
      <c r="D106" s="123">
        <v>0</v>
      </c>
      <c r="E106" s="123"/>
      <c r="F106" s="124"/>
      <c r="G106" s="70"/>
      <c r="H106" s="125"/>
      <c r="I106" s="125"/>
      <c r="J106" s="125"/>
      <c r="K106" s="125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6"/>
      <c r="Y106" s="124"/>
      <c r="Z106" s="124"/>
      <c r="AA106" s="127"/>
      <c r="AB106" s="124"/>
      <c r="AC106" s="124"/>
      <c r="AD106" s="124"/>
      <c r="AE106" s="124"/>
      <c r="AF106" s="124"/>
      <c r="AG106" s="128"/>
      <c r="AH106" s="16"/>
    </row>
    <row r="107" spans="1:34" ht="26.4">
      <c r="A107" s="51" t="s">
        <v>83</v>
      </c>
      <c r="B107" s="84">
        <f t="shared" si="3"/>
        <v>45880</v>
      </c>
      <c r="C107" s="83">
        <v>45880</v>
      </c>
      <c r="D107" s="261" t="s">
        <v>322</v>
      </c>
      <c r="E107" s="52" t="s">
        <v>362</v>
      </c>
      <c r="F107" s="86">
        <v>46828</v>
      </c>
      <c r="G107" s="87" t="s">
        <v>363</v>
      </c>
      <c r="H107" s="29" t="s">
        <v>302</v>
      </c>
      <c r="I107" s="30" t="s">
        <v>336</v>
      </c>
      <c r="J107" s="30" t="s">
        <v>99</v>
      </c>
      <c r="K107" s="30" t="s">
        <v>99</v>
      </c>
      <c r="L107" s="77" t="s">
        <v>99</v>
      </c>
      <c r="M107" s="77" t="s">
        <v>99</v>
      </c>
      <c r="N107" s="81">
        <v>4</v>
      </c>
      <c r="O107" s="88" t="s">
        <v>182</v>
      </c>
      <c r="P107" s="88" t="s">
        <v>182</v>
      </c>
      <c r="Q107" s="31" t="s">
        <v>99</v>
      </c>
      <c r="R107" s="31" t="s">
        <v>99</v>
      </c>
      <c r="S107" s="18"/>
      <c r="T107" s="18"/>
      <c r="U107" s="18"/>
      <c r="V107" s="18"/>
      <c r="W107" s="18"/>
      <c r="X107" s="28">
        <v>5</v>
      </c>
      <c r="Y107" s="28"/>
      <c r="Z107" s="18" t="s">
        <v>364</v>
      </c>
      <c r="AA107" s="93">
        <v>0.1333</v>
      </c>
      <c r="AB107" s="28"/>
      <c r="AC107" s="28"/>
      <c r="AD107" s="28" t="s">
        <v>115</v>
      </c>
      <c r="AE107" s="93">
        <v>1</v>
      </c>
      <c r="AF107" s="18" t="s">
        <v>71</v>
      </c>
      <c r="AG107" s="110" t="s">
        <v>239</v>
      </c>
      <c r="AH107" s="16"/>
    </row>
    <row r="108" spans="1:34">
      <c r="A108" s="51" t="s">
        <v>83</v>
      </c>
      <c r="B108" s="84">
        <f t="shared" si="3"/>
        <v>45880</v>
      </c>
      <c r="C108" s="83">
        <v>45880</v>
      </c>
      <c r="D108" s="52" t="s">
        <v>365</v>
      </c>
      <c r="E108" s="52" t="s">
        <v>326</v>
      </c>
      <c r="F108" s="100">
        <v>43451</v>
      </c>
      <c r="G108" s="101" t="s">
        <v>366</v>
      </c>
      <c r="H108" s="29" t="s">
        <v>367</v>
      </c>
      <c r="I108" s="30" t="s">
        <v>99</v>
      </c>
      <c r="J108" s="29"/>
      <c r="K108" s="234" t="s">
        <v>99</v>
      </c>
      <c r="L108" s="77">
        <v>3</v>
      </c>
      <c r="M108" s="77">
        <v>3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>
        <v>5</v>
      </c>
      <c r="Y108" s="28"/>
      <c r="Z108" s="18"/>
      <c r="AA108" s="93"/>
      <c r="AB108" s="28"/>
      <c r="AC108" s="28"/>
      <c r="AD108" s="18" t="s">
        <v>115</v>
      </c>
      <c r="AE108" s="93">
        <v>1</v>
      </c>
      <c r="AF108" s="18" t="s">
        <v>244</v>
      </c>
      <c r="AG108" s="110" t="s">
        <v>148</v>
      </c>
      <c r="AH108" s="16"/>
    </row>
    <row r="109" spans="1:34">
      <c r="A109" s="51" t="s">
        <v>83</v>
      </c>
      <c r="B109" s="84">
        <f t="shared" si="3"/>
        <v>45880</v>
      </c>
      <c r="C109" s="83">
        <v>45880</v>
      </c>
      <c r="D109" s="52" t="s">
        <v>365</v>
      </c>
      <c r="E109" s="52" t="s">
        <v>326</v>
      </c>
      <c r="F109" s="100">
        <v>47612</v>
      </c>
      <c r="G109" s="116" t="s">
        <v>368</v>
      </c>
      <c r="H109" s="29" t="s">
        <v>367</v>
      </c>
      <c r="I109" s="29"/>
      <c r="J109" s="29"/>
      <c r="K109" s="29"/>
      <c r="L109" s="18"/>
      <c r="M109" s="18"/>
      <c r="N109" s="18"/>
      <c r="O109" s="18"/>
      <c r="P109" s="18"/>
      <c r="Q109" s="18"/>
      <c r="R109" s="18"/>
      <c r="S109" s="18"/>
      <c r="T109" s="18"/>
      <c r="U109" s="80" t="s">
        <v>357</v>
      </c>
      <c r="V109" s="18"/>
      <c r="W109" s="18"/>
      <c r="X109" s="28">
        <v>5</v>
      </c>
      <c r="Y109" s="28"/>
      <c r="Z109" s="18"/>
      <c r="AA109" s="93"/>
      <c r="AB109" s="28"/>
      <c r="AC109" s="28"/>
      <c r="AD109" s="18" t="s">
        <v>369</v>
      </c>
      <c r="AE109" s="93">
        <v>1</v>
      </c>
      <c r="AF109" s="18" t="s">
        <v>71</v>
      </c>
      <c r="AG109" s="110" t="s">
        <v>148</v>
      </c>
      <c r="AH109" s="16"/>
    </row>
    <row r="110" spans="1:34" ht="52.8">
      <c r="A110" s="51" t="s">
        <v>83</v>
      </c>
      <c r="B110" s="84">
        <f t="shared" si="3"/>
        <v>45880</v>
      </c>
      <c r="C110" s="83">
        <v>45880</v>
      </c>
      <c r="D110" s="262" t="s">
        <v>152</v>
      </c>
      <c r="E110" s="18" t="s">
        <v>370</v>
      </c>
      <c r="F110" s="86">
        <v>42312</v>
      </c>
      <c r="G110" s="198" t="s">
        <v>371</v>
      </c>
      <c r="H110" s="16" t="s">
        <v>372</v>
      </c>
      <c r="I110" s="29"/>
      <c r="J110" s="29"/>
      <c r="K110" s="29"/>
      <c r="L110" s="48"/>
      <c r="M110" s="48"/>
      <c r="N110" s="81">
        <v>2</v>
      </c>
      <c r="O110" s="18"/>
      <c r="P110" s="18"/>
      <c r="Q110" s="48"/>
      <c r="R110" s="48"/>
      <c r="S110" s="48"/>
      <c r="T110" s="48"/>
      <c r="U110" s="48"/>
      <c r="V110" s="48"/>
      <c r="W110" s="48"/>
      <c r="X110" s="28">
        <v>5</v>
      </c>
      <c r="Y110" s="213"/>
      <c r="Z110" s="214" t="s">
        <v>283</v>
      </c>
      <c r="AA110" s="52" t="s">
        <v>373</v>
      </c>
      <c r="AB110" s="213"/>
      <c r="AC110" s="213"/>
      <c r="AD110" s="85" t="s">
        <v>81</v>
      </c>
      <c r="AE110" s="215">
        <v>1</v>
      </c>
      <c r="AF110" s="85" t="s">
        <v>374</v>
      </c>
      <c r="AG110" s="216" t="s">
        <v>375</v>
      </c>
      <c r="AH110" s="16"/>
    </row>
    <row r="111" spans="1:34" s="4" customFormat="1" ht="66">
      <c r="A111" s="51" t="s">
        <v>83</v>
      </c>
      <c r="B111" s="84">
        <f t="shared" si="3"/>
        <v>45880</v>
      </c>
      <c r="C111" s="83">
        <v>45880</v>
      </c>
      <c r="D111" s="261" t="s">
        <v>305</v>
      </c>
      <c r="E111" s="52" t="s">
        <v>376</v>
      </c>
      <c r="F111" s="86">
        <v>41061</v>
      </c>
      <c r="G111" s="198" t="s">
        <v>338</v>
      </c>
      <c r="H111" s="29" t="s">
        <v>68</v>
      </c>
      <c r="I111" s="30">
        <v>2</v>
      </c>
      <c r="J111" s="30">
        <v>2</v>
      </c>
      <c r="K111" s="30">
        <v>2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>
        <v>5</v>
      </c>
      <c r="Y111" s="28"/>
      <c r="Z111" s="18"/>
      <c r="AA111" s="93"/>
      <c r="AB111" s="28"/>
      <c r="AC111" s="28"/>
      <c r="AD111" s="18" t="s">
        <v>115</v>
      </c>
      <c r="AE111" s="93">
        <v>1</v>
      </c>
      <c r="AF111" s="18" t="s">
        <v>374</v>
      </c>
      <c r="AG111" s="110" t="s">
        <v>304</v>
      </c>
      <c r="AH111" s="16"/>
    </row>
    <row r="112" spans="1:34" s="4" customFormat="1" ht="66">
      <c r="A112" s="51" t="s">
        <v>83</v>
      </c>
      <c r="B112" s="84">
        <f t="shared" si="3"/>
        <v>45880</v>
      </c>
      <c r="C112" s="83">
        <v>45880</v>
      </c>
      <c r="D112" s="261" t="s">
        <v>305</v>
      </c>
      <c r="E112" s="52" t="s">
        <v>376</v>
      </c>
      <c r="F112" s="86">
        <v>41063</v>
      </c>
      <c r="G112" s="87" t="s">
        <v>377</v>
      </c>
      <c r="H112" s="29" t="s">
        <v>304</v>
      </c>
      <c r="I112" s="29"/>
      <c r="J112" s="29"/>
      <c r="K112" s="29"/>
      <c r="L112" s="77">
        <v>2</v>
      </c>
      <c r="M112" s="77">
        <v>2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>
        <v>5</v>
      </c>
      <c r="Y112" s="28"/>
      <c r="Z112" s="18" t="s">
        <v>378</v>
      </c>
      <c r="AA112" s="93">
        <v>0.1</v>
      </c>
      <c r="AB112" s="28"/>
      <c r="AC112" s="28"/>
      <c r="AD112" s="18" t="s">
        <v>115</v>
      </c>
      <c r="AE112" s="93">
        <v>1</v>
      </c>
      <c r="AF112" s="18" t="s">
        <v>374</v>
      </c>
      <c r="AG112" s="110" t="s">
        <v>68</v>
      </c>
      <c r="AH112" s="16"/>
    </row>
    <row r="113" spans="1:36">
      <c r="A113" s="161"/>
      <c r="B113" s="84">
        <f t="shared" si="3"/>
        <v>45881</v>
      </c>
      <c r="C113" s="162">
        <v>45881</v>
      </c>
      <c r="D113" s="163">
        <v>0</v>
      </c>
      <c r="E113" s="163"/>
      <c r="F113" s="164"/>
      <c r="G113" s="69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5"/>
      <c r="Y113" s="165"/>
      <c r="Z113" s="164"/>
      <c r="AA113" s="166"/>
      <c r="AB113" s="165"/>
      <c r="AC113" s="165"/>
      <c r="AD113" s="164"/>
      <c r="AE113" s="165"/>
      <c r="AF113" s="164"/>
      <c r="AG113" s="167"/>
      <c r="AH113" s="16"/>
    </row>
    <row r="114" spans="1:36" s="13" customFormat="1" ht="26.4">
      <c r="A114" s="51" t="s">
        <v>83</v>
      </c>
      <c r="B114" s="84">
        <f t="shared" si="3"/>
        <v>45881</v>
      </c>
      <c r="C114" s="83">
        <v>45881</v>
      </c>
      <c r="D114" s="52" t="s">
        <v>173</v>
      </c>
      <c r="E114" s="52" t="s">
        <v>174</v>
      </c>
      <c r="F114" s="86">
        <v>43075</v>
      </c>
      <c r="G114" s="87" t="s">
        <v>379</v>
      </c>
      <c r="H114" s="29" t="s">
        <v>148</v>
      </c>
      <c r="I114" s="29"/>
      <c r="J114" s="29"/>
      <c r="K114" s="29"/>
      <c r="L114" s="77">
        <v>4</v>
      </c>
      <c r="M114" s="77">
        <v>8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>
        <v>5</v>
      </c>
      <c r="Y114" s="28"/>
      <c r="Z114" s="18"/>
      <c r="AA114" s="93"/>
      <c r="AB114" s="28"/>
      <c r="AC114" s="28"/>
      <c r="AD114" s="18" t="s">
        <v>177</v>
      </c>
      <c r="AE114" s="93">
        <v>1</v>
      </c>
      <c r="AF114" s="18" t="s">
        <v>178</v>
      </c>
      <c r="AG114" s="110" t="s">
        <v>275</v>
      </c>
      <c r="AH114" s="16"/>
    </row>
    <row r="115" spans="1:36" ht="26.4">
      <c r="A115" s="51" t="s">
        <v>83</v>
      </c>
      <c r="B115" s="84">
        <f t="shared" si="3"/>
        <v>45881</v>
      </c>
      <c r="C115" s="83">
        <v>45881</v>
      </c>
      <c r="D115" s="52" t="s">
        <v>325</v>
      </c>
      <c r="E115" s="52" t="s">
        <v>144</v>
      </c>
      <c r="F115" s="100">
        <v>46810</v>
      </c>
      <c r="G115" s="101" t="s">
        <v>380</v>
      </c>
      <c r="H115" s="29" t="s">
        <v>321</v>
      </c>
      <c r="I115" s="30" t="s">
        <v>99</v>
      </c>
      <c r="J115" s="30" t="s">
        <v>99</v>
      </c>
      <c r="K115" s="30" t="s">
        <v>345</v>
      </c>
      <c r="L115" s="77" t="s">
        <v>99</v>
      </c>
      <c r="M115" s="77" t="s">
        <v>99</v>
      </c>
      <c r="N115" s="18"/>
      <c r="O115" s="88" t="s">
        <v>309</v>
      </c>
      <c r="P115" s="88">
        <v>3</v>
      </c>
      <c r="Q115" s="31" t="s">
        <v>99</v>
      </c>
      <c r="R115" s="31">
        <v>5</v>
      </c>
      <c r="S115" s="18"/>
      <c r="T115" s="18"/>
      <c r="U115" s="18"/>
      <c r="V115" s="18"/>
      <c r="W115" s="18"/>
      <c r="X115" s="18">
        <v>5</v>
      </c>
      <c r="Y115" s="18"/>
      <c r="Z115" s="74" t="s">
        <v>291</v>
      </c>
      <c r="AA115" s="109">
        <v>0.15</v>
      </c>
      <c r="AB115" s="74"/>
      <c r="AC115" s="74"/>
      <c r="AD115" s="74" t="s">
        <v>115</v>
      </c>
      <c r="AE115" s="109">
        <v>1</v>
      </c>
      <c r="AF115" s="18" t="s">
        <v>71</v>
      </c>
      <c r="AG115" s="110" t="s">
        <v>300</v>
      </c>
      <c r="AH115" s="16"/>
    </row>
    <row r="116" spans="1:36">
      <c r="A116" s="161"/>
      <c r="B116" s="84">
        <f t="shared" si="3"/>
        <v>45882</v>
      </c>
      <c r="C116" s="162">
        <v>45882</v>
      </c>
      <c r="D116" s="163">
        <v>0</v>
      </c>
      <c r="E116" s="163"/>
      <c r="F116" s="164"/>
      <c r="G116" s="69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5"/>
      <c r="Y116" s="165"/>
      <c r="Z116" s="164"/>
      <c r="AA116" s="166"/>
      <c r="AB116" s="165"/>
      <c r="AC116" s="165"/>
      <c r="AD116" s="164"/>
      <c r="AE116" s="165"/>
      <c r="AF116" s="164"/>
      <c r="AG116" s="167"/>
      <c r="AH116" s="16"/>
    </row>
    <row r="117" spans="1:36" s="4" customFormat="1" ht="92.4">
      <c r="A117" s="51" t="s">
        <v>83</v>
      </c>
      <c r="B117" s="84">
        <f t="shared" si="3"/>
        <v>45882</v>
      </c>
      <c r="C117" s="83">
        <v>45882</v>
      </c>
      <c r="D117" s="261" t="s">
        <v>349</v>
      </c>
      <c r="E117" s="18" t="s">
        <v>381</v>
      </c>
      <c r="F117" s="112">
        <v>46898</v>
      </c>
      <c r="G117" s="113" t="s">
        <v>382</v>
      </c>
      <c r="H117" s="29" t="s">
        <v>262</v>
      </c>
      <c r="I117" s="30">
        <v>3</v>
      </c>
      <c r="J117" s="30" t="s">
        <v>99</v>
      </c>
      <c r="K117" s="30">
        <v>3</v>
      </c>
      <c r="L117" s="77" t="s">
        <v>383</v>
      </c>
      <c r="M117" s="77" t="s">
        <v>384</v>
      </c>
      <c r="N117" s="81">
        <v>4</v>
      </c>
      <c r="O117" s="88">
        <v>5</v>
      </c>
      <c r="P117" s="88">
        <v>3</v>
      </c>
      <c r="Q117" s="89">
        <v>4</v>
      </c>
      <c r="R117" s="31">
        <v>5</v>
      </c>
      <c r="S117" s="18"/>
      <c r="T117" s="18"/>
      <c r="U117" s="18"/>
      <c r="V117" s="18"/>
      <c r="W117" s="18"/>
      <c r="X117" s="28">
        <v>5</v>
      </c>
      <c r="Y117" s="28"/>
      <c r="Z117" s="18"/>
      <c r="AA117" s="93"/>
      <c r="AB117" s="91"/>
      <c r="AC117" s="28"/>
      <c r="AD117" s="18" t="s">
        <v>177</v>
      </c>
      <c r="AE117" s="93">
        <v>1</v>
      </c>
      <c r="AF117" s="85" t="s">
        <v>385</v>
      </c>
      <c r="AG117" s="110" t="s">
        <v>386</v>
      </c>
      <c r="AH117" s="16"/>
    </row>
    <row r="118" spans="1:36" s="4" customFormat="1">
      <c r="A118" s="169"/>
      <c r="B118" s="84">
        <f t="shared" si="3"/>
        <v>45883</v>
      </c>
      <c r="C118" s="162">
        <v>45883</v>
      </c>
      <c r="D118" s="163">
        <v>0</v>
      </c>
      <c r="E118" s="163"/>
      <c r="F118" s="164"/>
      <c r="G118" s="69"/>
      <c r="H118" s="170"/>
      <c r="I118" s="170"/>
      <c r="J118" s="170"/>
      <c r="K118" s="170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5"/>
      <c r="Y118" s="164"/>
      <c r="Z118" s="164"/>
      <c r="AA118" s="171"/>
      <c r="AB118" s="164"/>
      <c r="AC118" s="164"/>
      <c r="AD118" s="164"/>
      <c r="AE118" s="164"/>
      <c r="AF118" s="164"/>
      <c r="AG118" s="172"/>
      <c r="AH118" s="16"/>
    </row>
    <row r="119" spans="1:36" s="6" customFormat="1" ht="26.4">
      <c r="A119" s="51" t="s">
        <v>83</v>
      </c>
      <c r="B119" s="84">
        <f t="shared" si="3"/>
        <v>45883</v>
      </c>
      <c r="C119" s="273">
        <v>45883</v>
      </c>
      <c r="D119" s="262" t="s">
        <v>281</v>
      </c>
      <c r="E119" s="52" t="s">
        <v>144</v>
      </c>
      <c r="F119" s="86">
        <v>46877</v>
      </c>
      <c r="G119" s="87" t="s">
        <v>394</v>
      </c>
      <c r="H119" s="111" t="s">
        <v>395</v>
      </c>
      <c r="I119" s="29"/>
      <c r="J119" s="29"/>
      <c r="K119" s="29"/>
      <c r="L119" s="18"/>
      <c r="M119" s="18"/>
      <c r="N119" s="18"/>
      <c r="O119" s="18"/>
      <c r="P119" s="18"/>
      <c r="Q119" s="18"/>
      <c r="R119" s="18"/>
      <c r="S119" s="78" t="s">
        <v>396</v>
      </c>
      <c r="T119" s="78" t="s">
        <v>396</v>
      </c>
      <c r="U119" s="80" t="s">
        <v>397</v>
      </c>
      <c r="V119" s="79" t="s">
        <v>99</v>
      </c>
      <c r="W119" s="18"/>
      <c r="X119" s="28">
        <v>5</v>
      </c>
      <c r="Y119" s="28"/>
      <c r="Z119" s="18"/>
      <c r="AA119" s="93"/>
      <c r="AB119" s="28" t="s">
        <v>398</v>
      </c>
      <c r="AC119" s="93">
        <v>0.5</v>
      </c>
      <c r="AD119" s="18" t="s">
        <v>269</v>
      </c>
      <c r="AE119" s="93">
        <v>0.5</v>
      </c>
      <c r="AF119" s="18" t="s">
        <v>399</v>
      </c>
      <c r="AG119" s="110" t="s">
        <v>307</v>
      </c>
      <c r="AH119" s="285" t="s">
        <v>703</v>
      </c>
    </row>
    <row r="120" spans="1:36" ht="26.4">
      <c r="A120" s="51" t="s">
        <v>83</v>
      </c>
      <c r="B120" s="84">
        <f t="shared" si="3"/>
        <v>45883</v>
      </c>
      <c r="C120" s="273">
        <v>45883</v>
      </c>
      <c r="D120" s="262" t="s">
        <v>281</v>
      </c>
      <c r="E120" s="52" t="s">
        <v>144</v>
      </c>
      <c r="F120" s="153">
        <v>46877</v>
      </c>
      <c r="G120" s="154" t="s">
        <v>400</v>
      </c>
      <c r="H120" s="111" t="s">
        <v>395</v>
      </c>
      <c r="I120" s="53"/>
      <c r="J120" s="53"/>
      <c r="K120" s="53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97" t="s">
        <v>233</v>
      </c>
      <c r="X120" s="28">
        <v>6</v>
      </c>
      <c r="Y120" s="28"/>
      <c r="Z120" s="18"/>
      <c r="AA120" s="28"/>
      <c r="AB120" s="28" t="s">
        <v>398</v>
      </c>
      <c r="AC120" s="93">
        <v>0.5</v>
      </c>
      <c r="AD120" s="18" t="s">
        <v>269</v>
      </c>
      <c r="AE120" s="93">
        <v>0.5</v>
      </c>
      <c r="AF120" s="18" t="s">
        <v>399</v>
      </c>
      <c r="AG120" s="110" t="s">
        <v>307</v>
      </c>
      <c r="AH120" s="285" t="s">
        <v>703</v>
      </c>
    </row>
    <row r="121" spans="1:36" s="8" customFormat="1" ht="26.4">
      <c r="A121" s="51" t="s">
        <v>83</v>
      </c>
      <c r="B121" s="84">
        <f t="shared" si="3"/>
        <v>45883</v>
      </c>
      <c r="C121" s="83">
        <v>45883</v>
      </c>
      <c r="D121" s="274" t="s">
        <v>705</v>
      </c>
      <c r="E121" s="52" t="s">
        <v>174</v>
      </c>
      <c r="F121" s="119">
        <v>46892</v>
      </c>
      <c r="G121" s="120" t="s">
        <v>387</v>
      </c>
      <c r="H121" s="29" t="s">
        <v>278</v>
      </c>
      <c r="I121" s="30" t="s">
        <v>336</v>
      </c>
      <c r="J121" s="30" t="s">
        <v>99</v>
      </c>
      <c r="K121" s="30" t="s">
        <v>345</v>
      </c>
      <c r="L121" s="77" t="s">
        <v>99</v>
      </c>
      <c r="M121" s="77" t="s">
        <v>99</v>
      </c>
      <c r="N121" s="18"/>
      <c r="O121" s="88" t="s">
        <v>388</v>
      </c>
      <c r="P121" s="88" t="s">
        <v>388</v>
      </c>
      <c r="Q121" s="31" t="s">
        <v>99</v>
      </c>
      <c r="R121" s="31" t="s">
        <v>99</v>
      </c>
      <c r="S121" s="18"/>
      <c r="T121" s="18"/>
      <c r="U121" s="18"/>
      <c r="V121" s="18"/>
      <c r="W121" s="18"/>
      <c r="X121" s="28">
        <v>5</v>
      </c>
      <c r="Y121" s="28"/>
      <c r="Z121" s="18"/>
      <c r="AA121" s="92"/>
      <c r="AB121" s="18" t="s">
        <v>389</v>
      </c>
      <c r="AC121" s="93">
        <v>0.4</v>
      </c>
      <c r="AD121" s="18" t="s">
        <v>81</v>
      </c>
      <c r="AE121" s="90">
        <v>0.6</v>
      </c>
      <c r="AF121" s="18" t="s">
        <v>71</v>
      </c>
      <c r="AG121" s="94" t="s">
        <v>160</v>
      </c>
      <c r="AH121" s="16"/>
    </row>
    <row r="122" spans="1:36" s="6" customFormat="1" ht="118.8">
      <c r="A122" s="51" t="s">
        <v>83</v>
      </c>
      <c r="B122" s="84">
        <f t="shared" si="3"/>
        <v>45883</v>
      </c>
      <c r="C122" s="83">
        <v>45883</v>
      </c>
      <c r="D122" s="261" t="s">
        <v>390</v>
      </c>
      <c r="E122" s="52" t="s">
        <v>391</v>
      </c>
      <c r="F122" s="86">
        <v>42012</v>
      </c>
      <c r="G122" s="198" t="s">
        <v>392</v>
      </c>
      <c r="H122" s="29" t="s">
        <v>344</v>
      </c>
      <c r="I122" s="30">
        <v>2</v>
      </c>
      <c r="J122" s="30">
        <v>2</v>
      </c>
      <c r="K122" s="30">
        <v>2</v>
      </c>
      <c r="L122" s="18"/>
      <c r="M122" s="18"/>
      <c r="N122" s="18"/>
      <c r="O122" s="88">
        <v>2</v>
      </c>
      <c r="P122" s="88">
        <v>2</v>
      </c>
      <c r="Q122" s="108"/>
      <c r="R122" s="108"/>
      <c r="S122" s="18"/>
      <c r="T122" s="18"/>
      <c r="U122" s="18"/>
      <c r="V122" s="18"/>
      <c r="W122" s="18"/>
      <c r="X122" s="28">
        <v>5</v>
      </c>
      <c r="Y122" s="28"/>
      <c r="Z122" s="18" t="s">
        <v>378</v>
      </c>
      <c r="AA122" s="93">
        <v>0.1</v>
      </c>
      <c r="AB122" s="28"/>
      <c r="AC122" s="28"/>
      <c r="AD122" s="28" t="s">
        <v>115</v>
      </c>
      <c r="AE122" s="93">
        <v>1</v>
      </c>
      <c r="AF122" s="18" t="s">
        <v>71</v>
      </c>
      <c r="AG122" s="110" t="s">
        <v>146</v>
      </c>
      <c r="AH122" s="16"/>
    </row>
    <row r="123" spans="1:36" ht="118.8">
      <c r="A123" s="51" t="s">
        <v>83</v>
      </c>
      <c r="B123" s="84">
        <f t="shared" si="3"/>
        <v>45883</v>
      </c>
      <c r="C123" s="83">
        <v>45883</v>
      </c>
      <c r="D123" s="261" t="s">
        <v>390</v>
      </c>
      <c r="E123" s="52" t="s">
        <v>391</v>
      </c>
      <c r="F123" s="86">
        <v>42012</v>
      </c>
      <c r="G123" s="198" t="s">
        <v>392</v>
      </c>
      <c r="H123" s="111" t="s">
        <v>146</v>
      </c>
      <c r="I123" s="18"/>
      <c r="J123" s="18"/>
      <c r="K123" s="18"/>
      <c r="L123" s="77">
        <v>2</v>
      </c>
      <c r="M123" s="77">
        <v>2</v>
      </c>
      <c r="N123" s="81">
        <v>2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28">
        <v>5</v>
      </c>
      <c r="Y123" s="28"/>
      <c r="Z123" s="18" t="s">
        <v>378</v>
      </c>
      <c r="AA123" s="93">
        <v>0.1</v>
      </c>
      <c r="AB123" s="28"/>
      <c r="AC123" s="28"/>
      <c r="AD123" s="28" t="s">
        <v>115</v>
      </c>
      <c r="AE123" s="93">
        <v>1</v>
      </c>
      <c r="AF123" s="18" t="s">
        <v>71</v>
      </c>
      <c r="AG123" s="110" t="s">
        <v>344</v>
      </c>
      <c r="AH123" s="16"/>
    </row>
    <row r="124" spans="1:36">
      <c r="A124" s="161"/>
      <c r="B124" s="84">
        <f t="shared" si="3"/>
        <v>45884</v>
      </c>
      <c r="C124" s="162">
        <v>45884</v>
      </c>
      <c r="D124" s="163">
        <v>0</v>
      </c>
      <c r="E124" s="163"/>
      <c r="F124" s="164"/>
      <c r="G124" s="69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5"/>
      <c r="Y124" s="165"/>
      <c r="Z124" s="164"/>
      <c r="AA124" s="166"/>
      <c r="AB124" s="165"/>
      <c r="AC124" s="165"/>
      <c r="AD124" s="164"/>
      <c r="AE124" s="165"/>
      <c r="AF124" s="164"/>
      <c r="AG124" s="167"/>
      <c r="AH124" s="16"/>
    </row>
    <row r="125" spans="1:36" s="4" customFormat="1">
      <c r="A125" s="51" t="s">
        <v>83</v>
      </c>
      <c r="B125" s="84">
        <f t="shared" si="3"/>
        <v>45884</v>
      </c>
      <c r="C125" s="83">
        <v>45884</v>
      </c>
      <c r="D125" s="52" t="s">
        <v>212</v>
      </c>
      <c r="E125" s="52" t="s">
        <v>174</v>
      </c>
      <c r="F125" s="86">
        <v>47719</v>
      </c>
      <c r="G125" s="87" t="s">
        <v>393</v>
      </c>
      <c r="H125" s="29" t="s">
        <v>367</v>
      </c>
      <c r="I125" s="29"/>
      <c r="J125" s="29"/>
      <c r="K125" s="29"/>
      <c r="L125" s="77">
        <v>4</v>
      </c>
      <c r="M125" s="77">
        <v>4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>
        <v>5</v>
      </c>
      <c r="Y125" s="28"/>
      <c r="Z125" s="18"/>
      <c r="AA125" s="93"/>
      <c r="AB125" s="28"/>
      <c r="AC125" s="28"/>
      <c r="AD125" s="18" t="s">
        <v>115</v>
      </c>
      <c r="AE125" s="93">
        <v>1</v>
      </c>
      <c r="AF125" s="18" t="s">
        <v>244</v>
      </c>
      <c r="AG125" s="110" t="s">
        <v>148</v>
      </c>
      <c r="AH125" s="16"/>
      <c r="AJ125" s="4" t="s">
        <v>12</v>
      </c>
    </row>
    <row r="126" spans="1:36" s="4" customFormat="1" ht="52.8">
      <c r="A126" s="51" t="s">
        <v>83</v>
      </c>
      <c r="B126" s="84">
        <f t="shared" si="3"/>
        <v>45884</v>
      </c>
      <c r="C126" s="83">
        <v>45884</v>
      </c>
      <c r="D126" s="261" t="s">
        <v>157</v>
      </c>
      <c r="E126" s="52" t="s">
        <v>401</v>
      </c>
      <c r="F126" s="86">
        <v>46834</v>
      </c>
      <c r="G126" s="87" t="s">
        <v>402</v>
      </c>
      <c r="H126" s="29" t="s">
        <v>151</v>
      </c>
      <c r="I126" s="30">
        <v>4</v>
      </c>
      <c r="J126" s="30" t="s">
        <v>99</v>
      </c>
      <c r="K126" s="30">
        <v>4</v>
      </c>
      <c r="L126" s="77" t="s">
        <v>99</v>
      </c>
      <c r="M126" s="77" t="s">
        <v>99</v>
      </c>
      <c r="N126" s="81" t="s">
        <v>99</v>
      </c>
      <c r="O126" s="88">
        <v>8</v>
      </c>
      <c r="P126" s="88" t="s">
        <v>309</v>
      </c>
      <c r="Q126" s="31" t="s">
        <v>99</v>
      </c>
      <c r="R126" s="31" t="s">
        <v>99</v>
      </c>
      <c r="S126" s="18"/>
      <c r="T126" s="18"/>
      <c r="U126" s="18"/>
      <c r="V126" s="18"/>
      <c r="W126" s="18"/>
      <c r="X126" s="28">
        <v>5</v>
      </c>
      <c r="Y126" s="28"/>
      <c r="Z126" s="18" t="s">
        <v>403</v>
      </c>
      <c r="AA126" s="93">
        <v>0.15</v>
      </c>
      <c r="AB126" s="28"/>
      <c r="AC126" s="28"/>
      <c r="AD126" s="18" t="s">
        <v>115</v>
      </c>
      <c r="AE126" s="93">
        <v>1</v>
      </c>
      <c r="AF126" s="18" t="s">
        <v>88</v>
      </c>
      <c r="AG126" s="72" t="s">
        <v>404</v>
      </c>
      <c r="AH126" s="16"/>
    </row>
    <row r="127" spans="1:36">
      <c r="A127" s="121"/>
      <c r="B127" s="84">
        <f t="shared" si="3"/>
        <v>45887</v>
      </c>
      <c r="C127" s="122">
        <v>45887</v>
      </c>
      <c r="D127" s="123">
        <v>0</v>
      </c>
      <c r="E127" s="123"/>
      <c r="F127" s="124"/>
      <c r="G127" s="70"/>
      <c r="H127" s="125"/>
      <c r="I127" s="125"/>
      <c r="J127" s="125"/>
      <c r="K127" s="125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6"/>
      <c r="Y127" s="124"/>
      <c r="Z127" s="124"/>
      <c r="AA127" s="127"/>
      <c r="AB127" s="124"/>
      <c r="AC127" s="124"/>
      <c r="AD127" s="124"/>
      <c r="AE127" s="124"/>
      <c r="AF127" s="124"/>
      <c r="AG127" s="128"/>
      <c r="AH127" s="16"/>
    </row>
    <row r="128" spans="1:36" s="4" customFormat="1" ht="79.2">
      <c r="A128" s="51" t="s">
        <v>83</v>
      </c>
      <c r="B128" s="84">
        <f t="shared" si="3"/>
        <v>45887</v>
      </c>
      <c r="C128" s="83">
        <v>45887</v>
      </c>
      <c r="D128" s="261" t="s">
        <v>212</v>
      </c>
      <c r="E128" s="52" t="s">
        <v>405</v>
      </c>
      <c r="F128" s="86">
        <v>43052</v>
      </c>
      <c r="G128" s="87" t="s">
        <v>277</v>
      </c>
      <c r="H128" s="29" t="s">
        <v>217</v>
      </c>
      <c r="I128" s="29"/>
      <c r="J128" s="29"/>
      <c r="K128" s="29"/>
      <c r="L128" s="18"/>
      <c r="M128" s="18"/>
      <c r="N128" s="81">
        <v>2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28">
        <v>5</v>
      </c>
      <c r="Y128" s="28"/>
      <c r="Z128" s="18"/>
      <c r="AA128" s="93"/>
      <c r="AB128" s="28"/>
      <c r="AC128" s="28"/>
      <c r="AD128" s="18" t="s">
        <v>115</v>
      </c>
      <c r="AE128" s="93">
        <v>1</v>
      </c>
      <c r="AF128" s="18" t="s">
        <v>178</v>
      </c>
      <c r="AG128" s="110" t="s">
        <v>278</v>
      </c>
      <c r="AH128" s="16"/>
    </row>
    <row r="129" spans="1:34" ht="79.2">
      <c r="A129" s="51" t="s">
        <v>83</v>
      </c>
      <c r="B129" s="84">
        <f t="shared" si="3"/>
        <v>45887</v>
      </c>
      <c r="C129" s="83">
        <v>45887</v>
      </c>
      <c r="D129" s="18" t="s">
        <v>260</v>
      </c>
      <c r="E129" s="52" t="s">
        <v>405</v>
      </c>
      <c r="F129" s="86">
        <v>42032</v>
      </c>
      <c r="G129" s="87" t="s">
        <v>406</v>
      </c>
      <c r="H129" s="29" t="s">
        <v>286</v>
      </c>
      <c r="I129" s="30">
        <v>2</v>
      </c>
      <c r="J129" s="30">
        <v>2</v>
      </c>
      <c r="K129" s="30">
        <v>2</v>
      </c>
      <c r="L129" s="18"/>
      <c r="M129" s="18"/>
      <c r="N129" s="18"/>
      <c r="O129" s="88" t="s">
        <v>309</v>
      </c>
      <c r="P129" s="88" t="s">
        <v>309</v>
      </c>
      <c r="Q129" s="18"/>
      <c r="R129" s="108"/>
      <c r="S129" s="18"/>
      <c r="T129" s="18"/>
      <c r="U129" s="18"/>
      <c r="V129" s="18"/>
      <c r="W129" s="18"/>
      <c r="X129" s="18">
        <v>5</v>
      </c>
      <c r="Y129" s="18"/>
      <c r="Z129" s="18" t="s">
        <v>94</v>
      </c>
      <c r="AA129" s="90">
        <v>0.1</v>
      </c>
      <c r="AB129" s="3"/>
      <c r="AC129" s="18"/>
      <c r="AD129" s="18" t="s">
        <v>115</v>
      </c>
      <c r="AE129" s="90">
        <v>1</v>
      </c>
      <c r="AF129" s="18" t="s">
        <v>251</v>
      </c>
      <c r="AG129" s="110" t="s">
        <v>298</v>
      </c>
      <c r="AH129" s="16"/>
    </row>
    <row r="130" spans="1:34" ht="26.4">
      <c r="A130" s="51" t="s">
        <v>83</v>
      </c>
      <c r="B130" s="84">
        <f t="shared" si="3"/>
        <v>45887</v>
      </c>
      <c r="C130" s="83">
        <v>45887</v>
      </c>
      <c r="D130" s="261" t="s">
        <v>152</v>
      </c>
      <c r="E130" s="52" t="s">
        <v>144</v>
      </c>
      <c r="F130" s="100">
        <v>46909</v>
      </c>
      <c r="G130" s="101" t="s">
        <v>407</v>
      </c>
      <c r="H130" s="29" t="s">
        <v>217</v>
      </c>
      <c r="I130" s="30" t="s">
        <v>99</v>
      </c>
      <c r="J130" s="30" t="s">
        <v>99</v>
      </c>
      <c r="K130" s="30" t="s">
        <v>345</v>
      </c>
      <c r="L130" s="77" t="s">
        <v>99</v>
      </c>
      <c r="M130" s="77" t="s">
        <v>99</v>
      </c>
      <c r="N130" s="81">
        <v>5</v>
      </c>
      <c r="O130" s="88" t="s">
        <v>388</v>
      </c>
      <c r="P130" s="88" t="s">
        <v>388</v>
      </c>
      <c r="Q130" s="31" t="s">
        <v>99</v>
      </c>
      <c r="R130" s="31" t="s">
        <v>99</v>
      </c>
      <c r="S130" s="18"/>
      <c r="T130" s="18"/>
      <c r="U130" s="18"/>
      <c r="V130" s="18"/>
      <c r="W130" s="18"/>
      <c r="X130" s="28">
        <v>5</v>
      </c>
      <c r="Y130" s="28"/>
      <c r="Z130" s="18"/>
      <c r="AA130" s="93"/>
      <c r="AB130" s="18" t="s">
        <v>408</v>
      </c>
      <c r="AC130" s="93">
        <v>0.25</v>
      </c>
      <c r="AD130" s="28" t="s">
        <v>81</v>
      </c>
      <c r="AE130" s="93">
        <v>0.75</v>
      </c>
      <c r="AF130" s="18" t="s">
        <v>409</v>
      </c>
      <c r="AG130" s="110" t="s">
        <v>278</v>
      </c>
      <c r="AH130" s="16"/>
    </row>
    <row r="131" spans="1:34" s="14" customFormat="1" ht="13.8">
      <c r="A131" s="51" t="s">
        <v>83</v>
      </c>
      <c r="B131" s="84">
        <f t="shared" si="3"/>
        <v>45887</v>
      </c>
      <c r="C131" s="83">
        <v>45887</v>
      </c>
      <c r="D131" s="261" t="s">
        <v>157</v>
      </c>
      <c r="E131" s="52" t="s">
        <v>174</v>
      </c>
      <c r="F131" s="86">
        <v>43431</v>
      </c>
      <c r="G131" s="87" t="s">
        <v>410</v>
      </c>
      <c r="H131" s="29" t="s">
        <v>160</v>
      </c>
      <c r="I131" s="29"/>
      <c r="J131" s="29"/>
      <c r="K131" s="29"/>
      <c r="L131" s="77">
        <v>2</v>
      </c>
      <c r="M131" s="77">
        <v>2</v>
      </c>
      <c r="N131" s="18" t="s">
        <v>12</v>
      </c>
      <c r="O131" s="18"/>
      <c r="P131" s="18"/>
      <c r="Q131" s="108"/>
      <c r="R131" s="82"/>
      <c r="S131" s="82"/>
      <c r="T131" s="82"/>
      <c r="U131" s="18"/>
      <c r="V131" s="18"/>
      <c r="W131" s="18"/>
      <c r="X131" s="28">
        <v>5</v>
      </c>
      <c r="Y131" s="28"/>
      <c r="Z131" s="18" t="s">
        <v>411</v>
      </c>
      <c r="AA131" s="93">
        <v>0.12</v>
      </c>
      <c r="AB131" s="28"/>
      <c r="AC131" s="28" t="s">
        <v>12</v>
      </c>
      <c r="AD131" s="18" t="s">
        <v>115</v>
      </c>
      <c r="AE131" s="93">
        <v>1</v>
      </c>
      <c r="AF131" s="18" t="s">
        <v>71</v>
      </c>
      <c r="AG131" s="110" t="s">
        <v>348</v>
      </c>
      <c r="AH131" s="16"/>
    </row>
    <row r="132" spans="1:34" s="4" customFormat="1">
      <c r="A132" s="161"/>
      <c r="B132" s="84">
        <f t="shared" si="3"/>
        <v>45888</v>
      </c>
      <c r="C132" s="162">
        <v>45888</v>
      </c>
      <c r="D132" s="163">
        <v>0</v>
      </c>
      <c r="E132" s="163"/>
      <c r="F132" s="164"/>
      <c r="G132" s="69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5"/>
      <c r="Y132" s="165"/>
      <c r="Z132" s="164"/>
      <c r="AA132" s="166"/>
      <c r="AB132" s="165"/>
      <c r="AC132" s="165"/>
      <c r="AD132" s="164"/>
      <c r="AE132" s="165"/>
      <c r="AF132" s="164"/>
      <c r="AG132" s="167"/>
      <c r="AH132" s="16"/>
    </row>
    <row r="133" spans="1:34" ht="26.4">
      <c r="A133" s="51" t="s">
        <v>83</v>
      </c>
      <c r="B133" s="84">
        <f t="shared" si="3"/>
        <v>45888</v>
      </c>
      <c r="C133" s="83">
        <v>45888</v>
      </c>
      <c r="D133" s="261" t="s">
        <v>212</v>
      </c>
      <c r="E133" s="52" t="s">
        <v>241</v>
      </c>
      <c r="F133" s="223">
        <v>44121</v>
      </c>
      <c r="G133" s="87" t="s">
        <v>412</v>
      </c>
      <c r="H133" s="18" t="s">
        <v>204</v>
      </c>
      <c r="I133" s="29"/>
      <c r="J133" s="29"/>
      <c r="K133" s="29"/>
      <c r="L133" s="77">
        <v>4</v>
      </c>
      <c r="M133" s="77">
        <v>4</v>
      </c>
      <c r="N133" s="81">
        <v>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28">
        <v>5</v>
      </c>
      <c r="Y133" s="28"/>
      <c r="Z133" s="18" t="s">
        <v>413</v>
      </c>
      <c r="AA133" s="93">
        <v>0.15</v>
      </c>
      <c r="AB133" s="28"/>
      <c r="AC133" s="28"/>
      <c r="AD133" s="18" t="s">
        <v>115</v>
      </c>
      <c r="AE133" s="93">
        <v>1</v>
      </c>
      <c r="AF133" s="18"/>
      <c r="AG133" s="110" t="s">
        <v>181</v>
      </c>
      <c r="AH133" s="16"/>
    </row>
    <row r="134" spans="1:34">
      <c r="A134" s="51" t="s">
        <v>83</v>
      </c>
      <c r="B134" s="84">
        <f t="shared" si="3"/>
        <v>45888</v>
      </c>
      <c r="C134" s="83">
        <v>45888</v>
      </c>
      <c r="D134" s="261" t="s">
        <v>212</v>
      </c>
      <c r="E134" s="52" t="s">
        <v>144</v>
      </c>
      <c r="F134" s="223">
        <v>44121</v>
      </c>
      <c r="G134" s="87" t="s">
        <v>414</v>
      </c>
      <c r="H134" s="18" t="s">
        <v>204</v>
      </c>
      <c r="I134" s="29"/>
      <c r="J134" s="29"/>
      <c r="K134" s="18"/>
      <c r="L134" s="18"/>
      <c r="M134" s="18"/>
      <c r="N134" s="18"/>
      <c r="O134" s="18"/>
      <c r="P134" s="18"/>
      <c r="Q134" s="89">
        <v>4</v>
      </c>
      <c r="R134" s="89">
        <v>4</v>
      </c>
      <c r="S134" s="18"/>
      <c r="T134" s="18"/>
      <c r="U134" s="18"/>
      <c r="V134" s="18"/>
      <c r="W134" s="18"/>
      <c r="X134" s="28">
        <v>5</v>
      </c>
      <c r="Y134" s="28"/>
      <c r="Z134" s="18" t="s">
        <v>413</v>
      </c>
      <c r="AA134" s="93">
        <v>0.15</v>
      </c>
      <c r="AB134" s="28"/>
      <c r="AC134" s="28"/>
      <c r="AD134" s="18" t="s">
        <v>115</v>
      </c>
      <c r="AE134" s="93">
        <v>1</v>
      </c>
      <c r="AF134" s="18"/>
      <c r="AG134" s="110" t="s">
        <v>181</v>
      </c>
      <c r="AH134" s="16"/>
    </row>
    <row r="135" spans="1:34" s="8" customFormat="1" ht="26.4">
      <c r="A135" s="51" t="s">
        <v>83</v>
      </c>
      <c r="B135" s="84">
        <f t="shared" si="3"/>
        <v>45888</v>
      </c>
      <c r="C135" s="83">
        <v>45888</v>
      </c>
      <c r="D135" s="261" t="s">
        <v>240</v>
      </c>
      <c r="E135" s="52" t="s">
        <v>158</v>
      </c>
      <c r="F135" s="100">
        <v>46814</v>
      </c>
      <c r="G135" s="116" t="s">
        <v>415</v>
      </c>
      <c r="H135" s="29" t="s">
        <v>148</v>
      </c>
      <c r="I135" s="30" t="s">
        <v>99</v>
      </c>
      <c r="J135" s="30" t="s">
        <v>215</v>
      </c>
      <c r="K135" s="30" t="s">
        <v>345</v>
      </c>
      <c r="L135" s="18"/>
      <c r="M135" s="18"/>
      <c r="N135" s="18"/>
      <c r="O135" s="88" t="s">
        <v>331</v>
      </c>
      <c r="P135" s="88" t="s">
        <v>99</v>
      </c>
      <c r="Q135" s="31" t="s">
        <v>99</v>
      </c>
      <c r="R135" s="31" t="s">
        <v>99</v>
      </c>
      <c r="S135" s="18"/>
      <c r="T135" s="18"/>
      <c r="U135" s="18"/>
      <c r="V135" s="18"/>
      <c r="W135" s="18"/>
      <c r="X135" s="28">
        <v>5</v>
      </c>
      <c r="Y135" s="28"/>
      <c r="Z135" s="74" t="s">
        <v>416</v>
      </c>
      <c r="AA135" s="103">
        <v>0.1</v>
      </c>
      <c r="AB135" s="75"/>
      <c r="AC135" s="75"/>
      <c r="AD135" s="75" t="s">
        <v>177</v>
      </c>
      <c r="AE135" s="103">
        <v>1</v>
      </c>
      <c r="AF135" s="18" t="s">
        <v>178</v>
      </c>
      <c r="AG135" s="110" t="s">
        <v>386</v>
      </c>
      <c r="AH135" s="16"/>
    </row>
    <row r="136" spans="1:34" s="7" customFormat="1">
      <c r="A136" s="51" t="s">
        <v>83</v>
      </c>
      <c r="B136" s="84">
        <f t="shared" si="3"/>
        <v>45888</v>
      </c>
      <c r="C136" s="83">
        <v>45888</v>
      </c>
      <c r="D136" s="52" t="s">
        <v>157</v>
      </c>
      <c r="E136" s="52" t="s">
        <v>174</v>
      </c>
      <c r="F136" s="86">
        <v>46911</v>
      </c>
      <c r="G136" s="87" t="s">
        <v>417</v>
      </c>
      <c r="H136" s="29" t="s">
        <v>243</v>
      </c>
      <c r="I136" s="29"/>
      <c r="J136" s="29"/>
      <c r="K136" s="29"/>
      <c r="L136" s="18"/>
      <c r="M136" s="18"/>
      <c r="N136" s="18"/>
      <c r="O136" s="18"/>
      <c r="P136" s="18"/>
      <c r="Q136" s="18"/>
      <c r="R136" s="18"/>
      <c r="S136" s="78" t="s">
        <v>396</v>
      </c>
      <c r="T136" s="78" t="s">
        <v>396</v>
      </c>
      <c r="U136" s="80" t="s">
        <v>99</v>
      </c>
      <c r="V136" s="18"/>
      <c r="W136" s="18"/>
      <c r="X136" s="28">
        <v>5</v>
      </c>
      <c r="Y136" s="28"/>
      <c r="Z136" s="74"/>
      <c r="AA136" s="103"/>
      <c r="AB136" s="75"/>
      <c r="AC136" s="75"/>
      <c r="AD136" s="74" t="s">
        <v>115</v>
      </c>
      <c r="AE136" s="103">
        <v>1</v>
      </c>
      <c r="AF136" s="18" t="s">
        <v>244</v>
      </c>
      <c r="AG136" s="110" t="s">
        <v>188</v>
      </c>
      <c r="AH136" s="16"/>
    </row>
    <row r="137" spans="1:34">
      <c r="A137" s="161"/>
      <c r="B137" s="84">
        <f t="shared" si="3"/>
        <v>45889</v>
      </c>
      <c r="C137" s="162">
        <v>45889</v>
      </c>
      <c r="D137" s="163">
        <v>0</v>
      </c>
      <c r="E137" s="163"/>
      <c r="F137" s="164"/>
      <c r="G137" s="69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5"/>
      <c r="Y137" s="165"/>
      <c r="Z137" s="164"/>
      <c r="AA137" s="166"/>
      <c r="AB137" s="165"/>
      <c r="AC137" s="165"/>
      <c r="AD137" s="164"/>
      <c r="AE137" s="165"/>
      <c r="AF137" s="164"/>
      <c r="AG137" s="167"/>
      <c r="AH137" s="16"/>
    </row>
    <row r="138" spans="1:34" ht="79.2">
      <c r="A138" s="51" t="s">
        <v>83</v>
      </c>
      <c r="B138" s="84">
        <f t="shared" ref="B138:B148" si="4">IF(C138="","",C138)</f>
        <v>45889</v>
      </c>
      <c r="C138" s="83">
        <v>45889</v>
      </c>
      <c r="D138" s="261" t="s">
        <v>212</v>
      </c>
      <c r="E138" s="52" t="s">
        <v>418</v>
      </c>
      <c r="F138" s="149">
        <v>42073</v>
      </c>
      <c r="G138" s="150" t="s">
        <v>419</v>
      </c>
      <c r="H138" s="29" t="s">
        <v>275</v>
      </c>
      <c r="I138" s="30">
        <v>2</v>
      </c>
      <c r="J138" s="30">
        <v>2</v>
      </c>
      <c r="K138" s="30">
        <v>2</v>
      </c>
      <c r="L138" s="77">
        <v>2</v>
      </c>
      <c r="M138" s="77">
        <v>4</v>
      </c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>
        <v>5</v>
      </c>
      <c r="Y138" s="28"/>
      <c r="Z138" s="205" t="s">
        <v>94</v>
      </c>
      <c r="AA138" s="93">
        <v>0.1</v>
      </c>
      <c r="AB138" s="28"/>
      <c r="AC138" s="28"/>
      <c r="AD138" s="18" t="s">
        <v>115</v>
      </c>
      <c r="AE138" s="93">
        <v>1</v>
      </c>
      <c r="AF138" s="18" t="s">
        <v>420</v>
      </c>
      <c r="AG138" s="94" t="s">
        <v>293</v>
      </c>
      <c r="AH138" s="16"/>
    </row>
    <row r="139" spans="1:34" s="4" customFormat="1" ht="66">
      <c r="A139" s="51" t="s">
        <v>83</v>
      </c>
      <c r="B139" s="84">
        <f t="shared" si="4"/>
        <v>45889</v>
      </c>
      <c r="C139" s="83">
        <v>45889</v>
      </c>
      <c r="D139" s="261" t="s">
        <v>212</v>
      </c>
      <c r="E139" s="52" t="s">
        <v>316</v>
      </c>
      <c r="F139" s="104">
        <v>42073</v>
      </c>
      <c r="G139" s="105" t="s">
        <v>421</v>
      </c>
      <c r="H139" s="29" t="s">
        <v>293</v>
      </c>
      <c r="I139" s="29"/>
      <c r="J139" s="29"/>
      <c r="K139" s="29"/>
      <c r="L139" s="18"/>
      <c r="M139" s="53"/>
      <c r="N139" s="81">
        <v>3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28">
        <v>5</v>
      </c>
      <c r="Y139" s="28"/>
      <c r="Z139" s="205" t="s">
        <v>94</v>
      </c>
      <c r="AA139" s="93">
        <v>0.1</v>
      </c>
      <c r="AB139" s="28"/>
      <c r="AC139" s="28"/>
      <c r="AD139" s="18" t="s">
        <v>115</v>
      </c>
      <c r="AE139" s="93">
        <v>1</v>
      </c>
      <c r="AF139" s="18" t="s">
        <v>420</v>
      </c>
      <c r="AG139" s="94" t="s">
        <v>275</v>
      </c>
      <c r="AH139" s="16"/>
    </row>
    <row r="140" spans="1:34" s="4" customFormat="1">
      <c r="A140" s="51" t="s">
        <v>83</v>
      </c>
      <c r="B140" s="84">
        <f t="shared" si="4"/>
        <v>45889</v>
      </c>
      <c r="C140" s="83">
        <v>45889</v>
      </c>
      <c r="D140" s="52" t="s">
        <v>422</v>
      </c>
      <c r="E140" s="52" t="s">
        <v>144</v>
      </c>
      <c r="F140" s="100">
        <v>43023</v>
      </c>
      <c r="G140" s="101" t="s">
        <v>423</v>
      </c>
      <c r="H140" s="29" t="s">
        <v>183</v>
      </c>
      <c r="I140" s="29"/>
      <c r="J140" s="29"/>
      <c r="K140" s="29"/>
      <c r="L140" s="18"/>
      <c r="M140" s="18"/>
      <c r="N140" s="18"/>
      <c r="O140" s="160">
        <v>3</v>
      </c>
      <c r="P140" s="88" t="s">
        <v>182</v>
      </c>
      <c r="Q140" s="18"/>
      <c r="R140" s="18"/>
      <c r="S140" s="18"/>
      <c r="T140" s="18"/>
      <c r="U140" s="18"/>
      <c r="V140" s="18"/>
      <c r="W140" s="18"/>
      <c r="X140" s="28">
        <v>5</v>
      </c>
      <c r="Y140" s="28"/>
      <c r="Z140" s="18"/>
      <c r="AA140" s="93"/>
      <c r="AB140" s="28"/>
      <c r="AC140" s="28"/>
      <c r="AD140" s="18" t="s">
        <v>177</v>
      </c>
      <c r="AE140" s="93">
        <v>1</v>
      </c>
      <c r="AF140" s="18" t="s">
        <v>71</v>
      </c>
      <c r="AG140" s="110" t="s">
        <v>181</v>
      </c>
      <c r="AH140" s="16"/>
    </row>
    <row r="141" spans="1:34">
      <c r="A141" s="169"/>
      <c r="B141" s="84">
        <f t="shared" si="4"/>
        <v>45890</v>
      </c>
      <c r="C141" s="162">
        <v>45890</v>
      </c>
      <c r="D141" s="163">
        <v>0</v>
      </c>
      <c r="E141" s="163"/>
      <c r="F141" s="164"/>
      <c r="G141" s="69"/>
      <c r="H141" s="170"/>
      <c r="I141" s="170"/>
      <c r="J141" s="170"/>
      <c r="K141" s="170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5"/>
      <c r="Y141" s="164"/>
      <c r="Z141" s="164"/>
      <c r="AA141" s="171"/>
      <c r="AB141" s="164"/>
      <c r="AC141" s="164"/>
      <c r="AD141" s="164"/>
      <c r="AE141" s="164"/>
      <c r="AF141" s="164"/>
      <c r="AG141" s="172"/>
      <c r="AH141" s="16"/>
    </row>
    <row r="142" spans="1:34" s="4" customFormat="1">
      <c r="A142" s="51" t="s">
        <v>83</v>
      </c>
      <c r="B142" s="84">
        <f t="shared" si="4"/>
        <v>45890</v>
      </c>
      <c r="C142" s="83">
        <v>45890</v>
      </c>
      <c r="D142" s="52" t="s">
        <v>212</v>
      </c>
      <c r="E142" s="52" t="s">
        <v>174</v>
      </c>
      <c r="F142" s="86">
        <v>46859</v>
      </c>
      <c r="G142" s="87" t="s">
        <v>424</v>
      </c>
      <c r="H142" s="29" t="s">
        <v>183</v>
      </c>
      <c r="I142" s="29"/>
      <c r="J142" s="29"/>
      <c r="K142" s="29"/>
      <c r="L142" s="18"/>
      <c r="M142" s="18"/>
      <c r="N142" s="18"/>
      <c r="O142" s="18"/>
      <c r="P142" s="18"/>
      <c r="Q142" s="18"/>
      <c r="R142" s="18"/>
      <c r="S142" s="78" t="s">
        <v>264</v>
      </c>
      <c r="T142" s="78" t="s">
        <v>264</v>
      </c>
      <c r="U142" s="18"/>
      <c r="V142" s="18"/>
      <c r="W142" s="18"/>
      <c r="X142" s="28">
        <v>5</v>
      </c>
      <c r="Y142" s="28"/>
      <c r="Z142" s="18"/>
      <c r="AA142" s="93"/>
      <c r="AB142" s="18" t="s">
        <v>425</v>
      </c>
      <c r="AC142" s="93">
        <v>0.3</v>
      </c>
      <c r="AD142" s="18" t="s">
        <v>115</v>
      </c>
      <c r="AE142" s="93">
        <v>0.7</v>
      </c>
      <c r="AF142" s="18" t="s">
        <v>71</v>
      </c>
      <c r="AG142" s="110" t="s">
        <v>337</v>
      </c>
      <c r="AH142" s="16"/>
    </row>
    <row r="143" spans="1:34" ht="39.6">
      <c r="A143" s="51" t="s">
        <v>83</v>
      </c>
      <c r="B143" s="84">
        <f t="shared" si="4"/>
        <v>45890</v>
      </c>
      <c r="C143" s="273">
        <v>45890</v>
      </c>
      <c r="D143" s="274" t="s">
        <v>270</v>
      </c>
      <c r="E143" s="52" t="s">
        <v>190</v>
      </c>
      <c r="F143" s="100">
        <v>43052</v>
      </c>
      <c r="G143" s="101" t="s">
        <v>277</v>
      </c>
      <c r="H143" s="29" t="s">
        <v>160</v>
      </c>
      <c r="I143" s="29"/>
      <c r="J143" s="29"/>
      <c r="K143" s="29"/>
      <c r="L143" s="77">
        <v>3</v>
      </c>
      <c r="M143" s="77">
        <v>3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>
        <v>5</v>
      </c>
      <c r="Y143" s="28"/>
      <c r="Z143" s="18" t="s">
        <v>94</v>
      </c>
      <c r="AA143" s="93">
        <v>0.15</v>
      </c>
      <c r="AB143" s="28"/>
      <c r="AC143" s="28"/>
      <c r="AD143" s="18" t="s">
        <v>115</v>
      </c>
      <c r="AE143" s="93">
        <v>1</v>
      </c>
      <c r="AF143" s="18" t="s">
        <v>71</v>
      </c>
      <c r="AG143" s="110" t="s">
        <v>278</v>
      </c>
      <c r="AH143" s="275" t="s">
        <v>702</v>
      </c>
    </row>
    <row r="144" spans="1:34" s="4" customFormat="1">
      <c r="A144" s="51" t="s">
        <v>83</v>
      </c>
      <c r="B144" s="84">
        <f t="shared" si="4"/>
        <v>45890</v>
      </c>
      <c r="C144" s="83">
        <v>45890</v>
      </c>
      <c r="D144" s="261" t="s">
        <v>260</v>
      </c>
      <c r="E144" s="52" t="s">
        <v>144</v>
      </c>
      <c r="F144" s="86">
        <v>47718</v>
      </c>
      <c r="G144" s="87" t="s">
        <v>426</v>
      </c>
      <c r="H144" s="66" t="s">
        <v>427</v>
      </c>
      <c r="I144" s="66"/>
      <c r="J144" s="66"/>
      <c r="K144" s="66"/>
      <c r="L144" s="18"/>
      <c r="M144" s="18"/>
      <c r="N144" s="18"/>
      <c r="O144" s="18"/>
      <c r="P144" s="18"/>
      <c r="Q144" s="18"/>
      <c r="R144" s="18"/>
      <c r="S144" s="18"/>
      <c r="T144" s="18"/>
      <c r="U144" s="39" t="s">
        <v>357</v>
      </c>
      <c r="V144" s="18"/>
      <c r="W144" s="18"/>
      <c r="X144" s="28">
        <v>5</v>
      </c>
      <c r="Y144" s="28"/>
      <c r="Z144" s="18"/>
      <c r="AA144" s="93"/>
      <c r="AB144" s="28"/>
      <c r="AC144" s="28"/>
      <c r="AD144" s="18" t="s">
        <v>115</v>
      </c>
      <c r="AE144" s="93">
        <v>1</v>
      </c>
      <c r="AF144" s="18" t="s">
        <v>244</v>
      </c>
      <c r="AG144" s="110" t="s">
        <v>148</v>
      </c>
      <c r="AH144" s="16"/>
    </row>
    <row r="145" spans="1:34" ht="26.4">
      <c r="A145" s="51" t="s">
        <v>83</v>
      </c>
      <c r="B145" s="84">
        <f t="shared" si="4"/>
        <v>45890</v>
      </c>
      <c r="C145" s="83">
        <v>45890</v>
      </c>
      <c r="D145" s="261" t="s">
        <v>428</v>
      </c>
      <c r="E145" s="52" t="s">
        <v>326</v>
      </c>
      <c r="F145" s="86">
        <v>44233</v>
      </c>
      <c r="G145" s="87" t="s">
        <v>429</v>
      </c>
      <c r="H145" s="29" t="s">
        <v>214</v>
      </c>
      <c r="I145" s="29"/>
      <c r="J145" s="30">
        <v>4</v>
      </c>
      <c r="K145" s="18"/>
      <c r="L145" s="18"/>
      <c r="M145" s="18"/>
      <c r="N145" s="18"/>
      <c r="O145" s="18"/>
      <c r="P145" s="18"/>
      <c r="Q145" s="18"/>
      <c r="R145" s="225">
        <v>8</v>
      </c>
      <c r="S145" s="18"/>
      <c r="T145" s="18"/>
      <c r="U145" s="18"/>
      <c r="V145" s="18"/>
      <c r="W145" s="18"/>
      <c r="X145" s="28">
        <v>5</v>
      </c>
      <c r="Y145" s="18"/>
      <c r="Z145" s="18"/>
      <c r="AA145" s="18"/>
      <c r="AB145" s="18" t="s">
        <v>216</v>
      </c>
      <c r="AC145" s="93">
        <v>0.15</v>
      </c>
      <c r="AD145" s="28" t="s">
        <v>177</v>
      </c>
      <c r="AE145" s="93">
        <v>0.85</v>
      </c>
      <c r="AF145" s="18" t="s">
        <v>178</v>
      </c>
      <c r="AG145" s="110" t="s">
        <v>217</v>
      </c>
      <c r="AH145" s="16"/>
    </row>
    <row r="146" spans="1:34" s="4" customFormat="1">
      <c r="A146" s="161"/>
      <c r="B146" s="84">
        <f t="shared" si="4"/>
        <v>45891</v>
      </c>
      <c r="C146" s="162">
        <v>45891</v>
      </c>
      <c r="D146" s="163">
        <v>0</v>
      </c>
      <c r="E146" s="163"/>
      <c r="F146" s="164"/>
      <c r="G146" s="69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5"/>
      <c r="Y146" s="165"/>
      <c r="Z146" s="164"/>
      <c r="AA146" s="166"/>
      <c r="AB146" s="165"/>
      <c r="AC146" s="165"/>
      <c r="AD146" s="164"/>
      <c r="AE146" s="165"/>
      <c r="AF146" s="164"/>
      <c r="AG146" s="167"/>
      <c r="AH146" s="16"/>
    </row>
    <row r="147" spans="1:34" ht="66">
      <c r="A147" s="51" t="s">
        <v>83</v>
      </c>
      <c r="B147" s="84">
        <f t="shared" si="4"/>
        <v>45891</v>
      </c>
      <c r="C147" s="83">
        <v>45891</v>
      </c>
      <c r="D147" s="261" t="s">
        <v>212</v>
      </c>
      <c r="E147" s="52" t="s">
        <v>430</v>
      </c>
      <c r="F147" s="86">
        <v>46813</v>
      </c>
      <c r="G147" s="87" t="s">
        <v>431</v>
      </c>
      <c r="H147" s="94" t="s">
        <v>273</v>
      </c>
      <c r="I147" s="30">
        <v>4</v>
      </c>
      <c r="J147" s="30" t="s">
        <v>99</v>
      </c>
      <c r="K147" s="30">
        <v>6</v>
      </c>
      <c r="L147" s="18"/>
      <c r="M147" s="18"/>
      <c r="N147" s="81" t="s">
        <v>99</v>
      </c>
      <c r="O147" s="88">
        <v>2</v>
      </c>
      <c r="P147" s="88">
        <v>2</v>
      </c>
      <c r="Q147" s="89">
        <v>4</v>
      </c>
      <c r="R147" s="89">
        <v>4</v>
      </c>
      <c r="S147" s="18"/>
      <c r="T147" s="18"/>
      <c r="U147" s="18"/>
      <c r="V147" s="18"/>
      <c r="W147" s="18"/>
      <c r="X147" s="28">
        <v>5</v>
      </c>
      <c r="Y147" s="28"/>
      <c r="Z147" s="18"/>
      <c r="AA147" s="90"/>
      <c r="AB147" s="91" t="s">
        <v>432</v>
      </c>
      <c r="AC147" s="92">
        <v>0.2</v>
      </c>
      <c r="AD147" s="18" t="s">
        <v>115</v>
      </c>
      <c r="AE147" s="93">
        <v>0.8</v>
      </c>
      <c r="AF147" s="18" t="s">
        <v>295</v>
      </c>
      <c r="AG147" s="94" t="s">
        <v>433</v>
      </c>
      <c r="AH147" s="16"/>
    </row>
    <row r="148" spans="1:34" s="4" customFormat="1">
      <c r="A148" s="51" t="s">
        <v>83</v>
      </c>
      <c r="B148" s="84">
        <f t="shared" si="4"/>
        <v>45891</v>
      </c>
      <c r="C148" s="83">
        <v>45891</v>
      </c>
      <c r="D148" s="269" t="s">
        <v>212</v>
      </c>
      <c r="E148" s="52" t="s">
        <v>174</v>
      </c>
      <c r="F148" s="86">
        <v>46815</v>
      </c>
      <c r="G148" s="87" t="s">
        <v>434</v>
      </c>
      <c r="H148" s="94" t="s">
        <v>273</v>
      </c>
      <c r="I148" s="94"/>
      <c r="J148" s="94"/>
      <c r="K148" s="94"/>
      <c r="L148" s="77">
        <v>4</v>
      </c>
      <c r="M148" s="77">
        <v>2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>
        <v>5</v>
      </c>
      <c r="Y148" s="28"/>
      <c r="Z148" s="18"/>
      <c r="AA148" s="90"/>
      <c r="AB148" s="28" t="s">
        <v>432</v>
      </c>
      <c r="AC148" s="92">
        <v>0.2</v>
      </c>
      <c r="AD148" s="18" t="s">
        <v>115</v>
      </c>
      <c r="AE148" s="93">
        <v>0.8</v>
      </c>
      <c r="AF148" s="18" t="s">
        <v>295</v>
      </c>
      <c r="AG148" s="110" t="s">
        <v>433</v>
      </c>
      <c r="AH148" s="16"/>
    </row>
    <row r="149" spans="1:34" ht="26.4">
      <c r="A149" s="51" t="s">
        <v>12</v>
      </c>
      <c r="B149" s="84"/>
      <c r="C149" s="83" t="s">
        <v>435</v>
      </c>
      <c r="D149" s="268" t="s">
        <v>436</v>
      </c>
      <c r="E149" s="52" t="s">
        <v>436</v>
      </c>
      <c r="F149" s="106">
        <v>47581</v>
      </c>
      <c r="G149" s="107" t="s">
        <v>437</v>
      </c>
      <c r="H149" s="29" t="s">
        <v>438</v>
      </c>
      <c r="I149" s="29"/>
      <c r="J149" s="29"/>
      <c r="K149" s="29"/>
      <c r="L149" s="82"/>
      <c r="M149" s="82"/>
      <c r="N149" s="82"/>
      <c r="O149" s="82"/>
      <c r="P149" s="82"/>
      <c r="Q149" s="82"/>
      <c r="R149" s="82"/>
      <c r="S149" s="38">
        <v>3</v>
      </c>
      <c r="T149" s="38">
        <v>3</v>
      </c>
      <c r="U149" s="82"/>
      <c r="V149" s="82"/>
      <c r="W149" s="82"/>
      <c r="X149" s="28">
        <v>15</v>
      </c>
      <c r="Y149" s="28"/>
      <c r="Z149" s="18"/>
      <c r="AA149" s="93"/>
      <c r="AB149" s="28"/>
      <c r="AC149" s="28"/>
      <c r="AD149" s="18" t="s">
        <v>439</v>
      </c>
      <c r="AE149" s="93">
        <v>1</v>
      </c>
      <c r="AF149" s="18" t="s">
        <v>71</v>
      </c>
      <c r="AG149" s="56" t="s">
        <v>71</v>
      </c>
      <c r="AH149" s="16"/>
    </row>
    <row r="150" spans="1:34" s="4" customFormat="1" ht="26.4">
      <c r="A150" s="51"/>
      <c r="B150" s="84"/>
      <c r="C150" s="83" t="s">
        <v>435</v>
      </c>
      <c r="D150" s="52" t="s">
        <v>436</v>
      </c>
      <c r="E150" s="52" t="s">
        <v>436</v>
      </c>
      <c r="F150" s="112">
        <v>47651</v>
      </c>
      <c r="G150" s="113" t="s">
        <v>440</v>
      </c>
      <c r="H150" s="29" t="s">
        <v>441</v>
      </c>
      <c r="I150" s="29"/>
      <c r="J150" s="29"/>
      <c r="K150" s="29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40" t="s">
        <v>442</v>
      </c>
      <c r="W150" s="82"/>
      <c r="X150" s="28">
        <v>20</v>
      </c>
      <c r="Y150" s="28"/>
      <c r="Z150" s="18"/>
      <c r="AA150" s="93"/>
      <c r="AB150" s="28"/>
      <c r="AC150" s="28"/>
      <c r="AD150" s="18" t="s">
        <v>439</v>
      </c>
      <c r="AE150" s="93">
        <v>1</v>
      </c>
      <c r="AF150" s="18" t="s">
        <v>71</v>
      </c>
      <c r="AG150" s="56" t="s">
        <v>71</v>
      </c>
      <c r="AH150" s="16"/>
    </row>
    <row r="151" spans="1:34" s="4" customFormat="1" ht="26.4">
      <c r="A151" s="51"/>
      <c r="B151" s="84"/>
      <c r="C151" s="83" t="s">
        <v>435</v>
      </c>
      <c r="D151" s="52" t="s">
        <v>436</v>
      </c>
      <c r="E151" s="52" t="s">
        <v>436</v>
      </c>
      <c r="F151" s="106">
        <v>47571</v>
      </c>
      <c r="G151" s="107" t="s">
        <v>443</v>
      </c>
      <c r="H151" s="29" t="s">
        <v>438</v>
      </c>
      <c r="I151" s="29"/>
      <c r="J151" s="29"/>
      <c r="K151" s="29"/>
      <c r="L151" s="82"/>
      <c r="M151" s="82"/>
      <c r="N151" s="82"/>
      <c r="O151" s="82"/>
      <c r="P151" s="82"/>
      <c r="Q151" s="82"/>
      <c r="R151" s="82"/>
      <c r="S151" s="82"/>
      <c r="T151" s="82"/>
      <c r="U151" s="39" t="s">
        <v>444</v>
      </c>
      <c r="V151" s="82"/>
      <c r="W151" s="82"/>
      <c r="X151" s="28">
        <v>5</v>
      </c>
      <c r="Y151" s="28"/>
      <c r="Z151" s="18"/>
      <c r="AA151" s="93"/>
      <c r="AB151" s="28"/>
      <c r="AC151" s="28"/>
      <c r="AD151" s="18" t="s">
        <v>439</v>
      </c>
      <c r="AE151" s="93">
        <v>1</v>
      </c>
      <c r="AF151" s="18" t="s">
        <v>71</v>
      </c>
      <c r="AG151" s="56" t="s">
        <v>71</v>
      </c>
      <c r="AH151" s="16"/>
    </row>
    <row r="152" spans="1:34" s="4" customFormat="1" ht="26.4">
      <c r="A152" s="51"/>
      <c r="B152" s="84"/>
      <c r="C152" s="83" t="s">
        <v>435</v>
      </c>
      <c r="D152" s="52" t="s">
        <v>436</v>
      </c>
      <c r="E152" s="52" t="s">
        <v>436</v>
      </c>
      <c r="F152" s="106">
        <v>47652</v>
      </c>
      <c r="G152" s="107" t="s">
        <v>445</v>
      </c>
      <c r="H152" s="29" t="s">
        <v>438</v>
      </c>
      <c r="I152" s="29"/>
      <c r="J152" s="29"/>
      <c r="K152" s="29"/>
      <c r="L152" s="82"/>
      <c r="M152" s="82"/>
      <c r="N152" s="82"/>
      <c r="O152" s="82"/>
      <c r="P152" s="82"/>
      <c r="Q152" s="82"/>
      <c r="R152" s="82"/>
      <c r="S152" s="82" t="s">
        <v>12</v>
      </c>
      <c r="T152" s="82"/>
      <c r="U152" s="39" t="s">
        <v>444</v>
      </c>
      <c r="V152" s="18"/>
      <c r="W152" s="18"/>
      <c r="X152" s="28">
        <v>15</v>
      </c>
      <c r="Y152" s="28"/>
      <c r="Z152" s="18"/>
      <c r="AA152" s="93"/>
      <c r="AB152" s="28"/>
      <c r="AC152" s="28"/>
      <c r="AD152" s="18" t="s">
        <v>439</v>
      </c>
      <c r="AE152" s="93">
        <v>1</v>
      </c>
      <c r="AF152" s="18" t="s">
        <v>71</v>
      </c>
      <c r="AG152" s="56" t="s">
        <v>71</v>
      </c>
      <c r="AH152" s="16"/>
    </row>
    <row r="153" spans="1:34" ht="26.4">
      <c r="A153" s="51"/>
      <c r="B153" s="84"/>
      <c r="C153" s="83" t="s">
        <v>435</v>
      </c>
      <c r="D153" s="52" t="s">
        <v>436</v>
      </c>
      <c r="E153" s="52" t="s">
        <v>436</v>
      </c>
      <c r="F153" s="106">
        <v>47621</v>
      </c>
      <c r="G153" s="107" t="s">
        <v>446</v>
      </c>
      <c r="H153" s="29" t="s">
        <v>438</v>
      </c>
      <c r="I153" s="29"/>
      <c r="J153" s="29"/>
      <c r="K153" s="29"/>
      <c r="L153" s="82"/>
      <c r="M153" s="82"/>
      <c r="N153" s="82"/>
      <c r="O153" s="82"/>
      <c r="P153" s="82"/>
      <c r="Q153" s="82"/>
      <c r="R153" s="82"/>
      <c r="S153" s="82"/>
      <c r="T153" s="82"/>
      <c r="U153" s="39" t="s">
        <v>442</v>
      </c>
      <c r="V153" s="82"/>
      <c r="W153" s="82"/>
      <c r="X153" s="28">
        <v>10</v>
      </c>
      <c r="Y153" s="28"/>
      <c r="Z153" s="18"/>
      <c r="AA153" s="93"/>
      <c r="AB153" s="28"/>
      <c r="AC153" s="28"/>
      <c r="AD153" s="18" t="s">
        <v>439</v>
      </c>
      <c r="AE153" s="93">
        <v>1</v>
      </c>
      <c r="AF153" s="18" t="s">
        <v>71</v>
      </c>
      <c r="AG153" s="56" t="s">
        <v>71</v>
      </c>
      <c r="AH153" s="16"/>
    </row>
    <row r="154" spans="1:34" ht="26.4">
      <c r="A154" s="51"/>
      <c r="B154" s="84"/>
      <c r="C154" s="83" t="s">
        <v>435</v>
      </c>
      <c r="D154" s="52" t="s">
        <v>436</v>
      </c>
      <c r="E154" s="52" t="s">
        <v>436</v>
      </c>
      <c r="F154" s="106">
        <v>47591</v>
      </c>
      <c r="G154" s="107" t="s">
        <v>447</v>
      </c>
      <c r="H154" s="29" t="s">
        <v>438</v>
      </c>
      <c r="I154" s="29"/>
      <c r="J154" s="29"/>
      <c r="K154" s="29"/>
      <c r="L154" s="82"/>
      <c r="M154" s="82"/>
      <c r="N154" s="82"/>
      <c r="O154" s="82"/>
      <c r="P154" s="82"/>
      <c r="Q154" s="82"/>
      <c r="R154" s="82"/>
      <c r="S154" s="38">
        <v>3</v>
      </c>
      <c r="T154" s="38">
        <v>3</v>
      </c>
      <c r="U154" s="82"/>
      <c r="V154" s="82"/>
      <c r="W154" s="82"/>
      <c r="X154" s="28">
        <v>5</v>
      </c>
      <c r="Y154" s="28"/>
      <c r="Z154" s="18"/>
      <c r="AA154" s="93"/>
      <c r="AB154" s="28"/>
      <c r="AC154" s="28"/>
      <c r="AD154" s="18" t="s">
        <v>448</v>
      </c>
      <c r="AE154" s="93">
        <v>1</v>
      </c>
      <c r="AF154" s="18" t="s">
        <v>71</v>
      </c>
      <c r="AG154" s="56" t="s">
        <v>71</v>
      </c>
      <c r="AH154" s="16"/>
    </row>
    <row r="155" spans="1:34" s="4" customFormat="1" ht="26.4">
      <c r="A155" s="51"/>
      <c r="B155" s="84"/>
      <c r="C155" s="83" t="s">
        <v>435</v>
      </c>
      <c r="D155" s="52" t="s">
        <v>436</v>
      </c>
      <c r="E155" s="52" t="s">
        <v>436</v>
      </c>
      <c r="F155" s="112">
        <v>47591</v>
      </c>
      <c r="G155" s="113" t="s">
        <v>447</v>
      </c>
      <c r="H155" s="29" t="s">
        <v>441</v>
      </c>
      <c r="I155" s="29"/>
      <c r="J155" s="29"/>
      <c r="K155" s="29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40" t="s">
        <v>442</v>
      </c>
      <c r="W155" s="82"/>
      <c r="X155" s="28">
        <v>5</v>
      </c>
      <c r="Y155" s="28"/>
      <c r="Z155" s="18"/>
      <c r="AA155" s="93"/>
      <c r="AB155" s="28"/>
      <c r="AC155" s="28"/>
      <c r="AD155" s="18" t="s">
        <v>448</v>
      </c>
      <c r="AE155" s="93">
        <v>1</v>
      </c>
      <c r="AF155" s="18" t="s">
        <v>71</v>
      </c>
      <c r="AG155" s="56" t="s">
        <v>71</v>
      </c>
      <c r="AH155" s="16"/>
    </row>
    <row r="156" spans="1:34" ht="26.4">
      <c r="A156" s="51"/>
      <c r="B156" s="84"/>
      <c r="C156" s="83" t="s">
        <v>435</v>
      </c>
      <c r="D156" s="52" t="s">
        <v>436</v>
      </c>
      <c r="E156" s="52" t="s">
        <v>436</v>
      </c>
      <c r="F156" s="106">
        <v>49194</v>
      </c>
      <c r="G156" s="107" t="s">
        <v>449</v>
      </c>
      <c r="H156" s="29" t="s">
        <v>438</v>
      </c>
      <c r="I156" s="29"/>
      <c r="J156" s="29"/>
      <c r="K156" s="29"/>
      <c r="L156" s="18"/>
      <c r="M156" s="18"/>
      <c r="N156" s="82"/>
      <c r="O156" s="36" t="s">
        <v>450</v>
      </c>
      <c r="P156" s="36" t="s">
        <v>450</v>
      </c>
      <c r="Q156" s="218" t="s">
        <v>451</v>
      </c>
      <c r="R156" s="218" t="s">
        <v>451</v>
      </c>
      <c r="S156" s="82"/>
      <c r="T156" s="82"/>
      <c r="U156" s="82"/>
      <c r="V156" s="82"/>
      <c r="W156" s="82"/>
      <c r="X156" s="28">
        <v>15</v>
      </c>
      <c r="Y156" s="28"/>
      <c r="Z156" s="18"/>
      <c r="AA156" s="93"/>
      <c r="AB156" s="28"/>
      <c r="AC156" s="28"/>
      <c r="AD156" s="18" t="s">
        <v>439</v>
      </c>
      <c r="AE156" s="93">
        <v>1</v>
      </c>
      <c r="AF156" s="18" t="s">
        <v>71</v>
      </c>
      <c r="AG156" s="56" t="s">
        <v>71</v>
      </c>
      <c r="AH156" s="16"/>
    </row>
    <row r="157" spans="1:34" ht="26.4">
      <c r="A157" s="51"/>
      <c r="B157" s="84"/>
      <c r="C157" s="83" t="s">
        <v>435</v>
      </c>
      <c r="D157" s="52" t="s">
        <v>436</v>
      </c>
      <c r="E157" s="52" t="s">
        <v>436</v>
      </c>
      <c r="F157" s="106">
        <v>49193</v>
      </c>
      <c r="G157" s="107" t="s">
        <v>449</v>
      </c>
      <c r="H157" s="29" t="s">
        <v>438</v>
      </c>
      <c r="I157" s="29"/>
      <c r="J157" s="29"/>
      <c r="K157" s="29"/>
      <c r="L157" s="18"/>
      <c r="M157" s="18"/>
      <c r="N157" s="82"/>
      <c r="O157" s="36" t="s">
        <v>450</v>
      </c>
      <c r="P157" s="36" t="s">
        <v>450</v>
      </c>
      <c r="Q157" s="217">
        <v>9</v>
      </c>
      <c r="R157" s="217">
        <v>9</v>
      </c>
      <c r="S157" s="53"/>
      <c r="T157" s="53"/>
      <c r="U157" s="82"/>
      <c r="V157" s="82"/>
      <c r="W157" s="82"/>
      <c r="X157" s="28">
        <v>7.5</v>
      </c>
      <c r="Y157" s="28"/>
      <c r="Z157" s="18"/>
      <c r="AA157" s="93"/>
      <c r="AB157" s="28"/>
      <c r="AC157" s="28"/>
      <c r="AD157" s="18" t="s">
        <v>439</v>
      </c>
      <c r="AE157" s="93">
        <v>1</v>
      </c>
      <c r="AF157" s="18" t="s">
        <v>71</v>
      </c>
      <c r="AG157" s="56" t="s">
        <v>71</v>
      </c>
      <c r="AH157" s="16"/>
    </row>
    <row r="158" spans="1:34" ht="26.4">
      <c r="A158" s="51"/>
      <c r="B158" s="84"/>
      <c r="C158" s="83" t="s">
        <v>435</v>
      </c>
      <c r="D158" s="52" t="s">
        <v>436</v>
      </c>
      <c r="E158" s="52" t="s">
        <v>436</v>
      </c>
      <c r="F158" s="106">
        <v>49192</v>
      </c>
      <c r="G158" s="107" t="s">
        <v>449</v>
      </c>
      <c r="H158" s="29" t="s">
        <v>438</v>
      </c>
      <c r="I158" s="29"/>
      <c r="J158" s="29"/>
      <c r="K158" s="29"/>
      <c r="L158" s="18"/>
      <c r="M158" s="18"/>
      <c r="N158" s="82"/>
      <c r="O158" s="36" t="s">
        <v>452</v>
      </c>
      <c r="P158" s="36" t="s">
        <v>452</v>
      </c>
      <c r="Q158" s="217">
        <v>8</v>
      </c>
      <c r="R158" s="217">
        <v>8</v>
      </c>
      <c r="S158" s="53"/>
      <c r="T158" s="53"/>
      <c r="U158" s="82"/>
      <c r="V158" s="82"/>
      <c r="W158" s="82"/>
      <c r="X158" s="28">
        <v>7.5</v>
      </c>
      <c r="Y158" s="28"/>
      <c r="Z158" s="18"/>
      <c r="AA158" s="93"/>
      <c r="AB158" s="28"/>
      <c r="AC158" s="28"/>
      <c r="AD158" s="18" t="s">
        <v>439</v>
      </c>
      <c r="AE158" s="93">
        <v>1</v>
      </c>
      <c r="AF158" s="18" t="s">
        <v>71</v>
      </c>
      <c r="AG158" s="56" t="s">
        <v>71</v>
      </c>
      <c r="AH158" s="16"/>
    </row>
    <row r="159" spans="1:34" ht="26.4">
      <c r="A159" s="51"/>
      <c r="B159" s="84"/>
      <c r="C159" s="83" t="s">
        <v>435</v>
      </c>
      <c r="D159" s="52" t="s">
        <v>436</v>
      </c>
      <c r="E159" s="52" t="s">
        <v>436</v>
      </c>
      <c r="F159" s="112">
        <v>45191</v>
      </c>
      <c r="G159" s="113" t="s">
        <v>449</v>
      </c>
      <c r="H159" s="29" t="s">
        <v>438</v>
      </c>
      <c r="I159" s="29"/>
      <c r="J159" s="29"/>
      <c r="K159" s="33" t="s">
        <v>453</v>
      </c>
      <c r="L159" s="18"/>
      <c r="M159" s="18"/>
      <c r="N159" s="18"/>
      <c r="O159" s="18" t="s">
        <v>12</v>
      </c>
      <c r="P159" s="18"/>
      <c r="Q159" s="18"/>
      <c r="R159" s="18"/>
      <c r="S159" s="18"/>
      <c r="T159" s="18"/>
      <c r="U159" s="18"/>
      <c r="V159" s="18"/>
      <c r="W159" s="18"/>
      <c r="X159" s="28">
        <v>5</v>
      </c>
      <c r="Y159" s="28"/>
      <c r="Z159" s="18"/>
      <c r="AA159" s="93"/>
      <c r="AB159" s="18"/>
      <c r="AC159" s="93"/>
      <c r="AD159" s="18" t="s">
        <v>439</v>
      </c>
      <c r="AE159" s="93">
        <v>1</v>
      </c>
      <c r="AF159" s="56" t="s">
        <v>71</v>
      </c>
      <c r="AG159" s="56" t="s">
        <v>71</v>
      </c>
      <c r="AH159" s="16"/>
    </row>
    <row r="160" spans="1:34" ht="26.4">
      <c r="A160" s="51"/>
      <c r="B160" s="84"/>
      <c r="C160" s="83" t="s">
        <v>435</v>
      </c>
      <c r="D160" s="52" t="s">
        <v>436</v>
      </c>
      <c r="E160" s="52" t="s">
        <v>436</v>
      </c>
      <c r="F160" s="112">
        <v>45194</v>
      </c>
      <c r="G160" s="113" t="s">
        <v>449</v>
      </c>
      <c r="H160" s="29" t="s">
        <v>438</v>
      </c>
      <c r="I160" s="29"/>
      <c r="J160" s="29"/>
      <c r="K160" s="29"/>
      <c r="L160" s="77" t="s">
        <v>454</v>
      </c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28">
        <v>5</v>
      </c>
      <c r="Y160" s="28"/>
      <c r="Z160" s="18"/>
      <c r="AA160" s="93"/>
      <c r="AB160" s="28"/>
      <c r="AC160" s="28"/>
      <c r="AD160" s="18" t="s">
        <v>439</v>
      </c>
      <c r="AE160" s="93">
        <v>1</v>
      </c>
      <c r="AF160" s="18" t="s">
        <v>71</v>
      </c>
      <c r="AG160" s="56" t="s">
        <v>71</v>
      </c>
      <c r="AH160" s="16"/>
    </row>
    <row r="161" spans="1:34" ht="26.4">
      <c r="A161" s="51"/>
      <c r="B161" s="84"/>
      <c r="C161" s="83" t="s">
        <v>435</v>
      </c>
      <c r="D161" s="52" t="s">
        <v>436</v>
      </c>
      <c r="E161" s="52" t="s">
        <v>436</v>
      </c>
      <c r="F161" s="112">
        <v>45194</v>
      </c>
      <c r="G161" s="113" t="s">
        <v>449</v>
      </c>
      <c r="H161" s="29" t="s">
        <v>438</v>
      </c>
      <c r="I161" s="29"/>
      <c r="J161" s="29"/>
      <c r="K161" s="29"/>
      <c r="L161" s="82"/>
      <c r="M161" s="77">
        <v>8</v>
      </c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28">
        <v>7.5</v>
      </c>
      <c r="Y161" s="28"/>
      <c r="Z161" s="18"/>
      <c r="AA161" s="93"/>
      <c r="AB161" s="28"/>
      <c r="AC161" s="28"/>
      <c r="AD161" s="18" t="s">
        <v>439</v>
      </c>
      <c r="AE161" s="93">
        <v>1</v>
      </c>
      <c r="AF161" s="18" t="s">
        <v>71</v>
      </c>
      <c r="AG161" s="56" t="s">
        <v>71</v>
      </c>
      <c r="AH161" s="16"/>
    </row>
    <row r="162" spans="1:34" ht="26.4">
      <c r="A162" s="51"/>
      <c r="B162" s="84"/>
      <c r="C162" s="83" t="s">
        <v>435</v>
      </c>
      <c r="D162" s="52" t="s">
        <v>436</v>
      </c>
      <c r="E162" s="52" t="s">
        <v>436</v>
      </c>
      <c r="F162" s="112">
        <v>46193</v>
      </c>
      <c r="G162" s="113" t="s">
        <v>449</v>
      </c>
      <c r="H162" s="29" t="s">
        <v>438</v>
      </c>
      <c r="I162" s="33" t="s">
        <v>454</v>
      </c>
      <c r="J162" s="33" t="s">
        <v>454</v>
      </c>
      <c r="K162" s="5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28" t="s">
        <v>455</v>
      </c>
      <c r="Y162" s="28"/>
      <c r="Z162" s="18"/>
      <c r="AA162" s="93"/>
      <c r="AB162" s="28"/>
      <c r="AC162" s="28"/>
      <c r="AD162" s="18" t="s">
        <v>439</v>
      </c>
      <c r="AE162" s="93">
        <v>1</v>
      </c>
      <c r="AF162" s="18" t="s">
        <v>71</v>
      </c>
      <c r="AG162" s="56" t="s">
        <v>71</v>
      </c>
      <c r="AH162" s="16"/>
    </row>
    <row r="163" spans="1:34" ht="26.4">
      <c r="A163" s="51"/>
      <c r="B163" s="84" t="str">
        <f>IF(C163="","",C163)</f>
        <v>WS+SS</v>
      </c>
      <c r="C163" s="83" t="s">
        <v>435</v>
      </c>
      <c r="D163" s="52" t="s">
        <v>436</v>
      </c>
      <c r="E163" s="52" t="s">
        <v>436</v>
      </c>
      <c r="F163" s="106">
        <v>46199</v>
      </c>
      <c r="G163" s="107" t="s">
        <v>449</v>
      </c>
      <c r="H163" s="29" t="s">
        <v>441</v>
      </c>
      <c r="I163" s="29"/>
      <c r="J163" s="29"/>
      <c r="K163" s="29"/>
      <c r="L163" s="82"/>
      <c r="M163" s="82"/>
      <c r="N163" s="35" t="s">
        <v>454</v>
      </c>
      <c r="O163" s="82"/>
      <c r="P163" s="82"/>
      <c r="Q163" s="82"/>
      <c r="R163" s="82"/>
      <c r="S163" s="82"/>
      <c r="T163" s="82"/>
      <c r="U163" s="82"/>
      <c r="V163" s="82"/>
      <c r="W163" s="82"/>
      <c r="X163" s="28">
        <v>15</v>
      </c>
      <c r="Y163" s="28"/>
      <c r="Z163" s="18"/>
      <c r="AA163" s="93"/>
      <c r="AB163" s="28"/>
      <c r="AC163" s="28"/>
      <c r="AD163" s="18" t="s">
        <v>439</v>
      </c>
      <c r="AE163" s="93">
        <v>1</v>
      </c>
      <c r="AF163" s="18" t="s">
        <v>71</v>
      </c>
      <c r="AG163" s="56" t="s">
        <v>71</v>
      </c>
      <c r="AH163" s="16"/>
    </row>
    <row r="164" spans="1:34" ht="26.4">
      <c r="A164" s="51"/>
      <c r="B164" s="84"/>
      <c r="C164" s="83" t="s">
        <v>435</v>
      </c>
      <c r="D164" s="52" t="s">
        <v>436</v>
      </c>
      <c r="E164" s="52" t="s">
        <v>436</v>
      </c>
      <c r="F164" s="149">
        <v>47643</v>
      </c>
      <c r="G164" s="150" t="s">
        <v>456</v>
      </c>
      <c r="H164" s="29" t="s">
        <v>457</v>
      </c>
      <c r="I164" s="29"/>
      <c r="J164" s="29"/>
      <c r="K164" s="29"/>
      <c r="L164" s="82"/>
      <c r="M164" s="82"/>
      <c r="N164" s="82"/>
      <c r="O164" s="82"/>
      <c r="P164" s="82"/>
      <c r="Q164" s="82"/>
      <c r="R164" s="82"/>
      <c r="S164" s="82"/>
      <c r="T164" s="82"/>
      <c r="U164" s="39" t="s">
        <v>444</v>
      </c>
      <c r="V164" s="82"/>
      <c r="W164" s="82"/>
      <c r="X164" s="28">
        <v>3</v>
      </c>
      <c r="Y164" s="28"/>
      <c r="Z164" s="18"/>
      <c r="AA164" s="93"/>
      <c r="AB164" s="28"/>
      <c r="AC164" s="28"/>
      <c r="AD164" s="18" t="s">
        <v>458</v>
      </c>
      <c r="AE164" s="93">
        <v>1</v>
      </c>
      <c r="AF164" s="18" t="s">
        <v>71</v>
      </c>
      <c r="AG164" s="94" t="s">
        <v>148</v>
      </c>
      <c r="AH164" s="16"/>
    </row>
    <row r="165" spans="1:34">
      <c r="A165" s="51" t="s">
        <v>83</v>
      </c>
      <c r="B165" s="84" t="str">
        <f t="shared" ref="B165:B174" si="5">IF(C165="","",C165)</f>
        <v/>
      </c>
      <c r="C165" s="83"/>
      <c r="D165" s="52" t="s">
        <v>436</v>
      </c>
      <c r="E165" s="52" t="s">
        <v>436</v>
      </c>
      <c r="F165" s="100">
        <v>47614</v>
      </c>
      <c r="G165" s="101" t="s">
        <v>463</v>
      </c>
      <c r="H165" s="29" t="s">
        <v>148</v>
      </c>
      <c r="I165" s="29"/>
      <c r="J165" s="29"/>
      <c r="K165" s="29"/>
      <c r="L165" s="18"/>
      <c r="M165" s="18"/>
      <c r="N165" s="18"/>
      <c r="O165" s="18"/>
      <c r="P165" s="18"/>
      <c r="Q165" s="18"/>
      <c r="R165" s="18"/>
      <c r="S165" s="18"/>
      <c r="T165" s="18"/>
      <c r="U165" s="80" t="s">
        <v>357</v>
      </c>
      <c r="V165" s="18"/>
      <c r="W165" s="18"/>
      <c r="X165" s="28">
        <v>5</v>
      </c>
      <c r="Y165" s="28"/>
      <c r="Z165" s="74"/>
      <c r="AA165" s="103"/>
      <c r="AB165" s="74" t="s">
        <v>464</v>
      </c>
      <c r="AC165" s="103">
        <v>0.2</v>
      </c>
      <c r="AD165" s="74" t="s">
        <v>465</v>
      </c>
      <c r="AE165" s="103">
        <v>0.8</v>
      </c>
      <c r="AF165" s="18" t="s">
        <v>71</v>
      </c>
      <c r="AG165" s="72" t="s">
        <v>466</v>
      </c>
      <c r="AH165" s="16"/>
    </row>
    <row r="166" spans="1:34" ht="26.4">
      <c r="A166" s="51" t="s">
        <v>83</v>
      </c>
      <c r="B166" s="84" t="str">
        <f t="shared" si="5"/>
        <v/>
      </c>
      <c r="C166" s="83"/>
      <c r="D166" s="52" t="s">
        <v>436</v>
      </c>
      <c r="E166" s="52" t="s">
        <v>436</v>
      </c>
      <c r="F166" s="86">
        <v>46901</v>
      </c>
      <c r="G166" s="87" t="s">
        <v>467</v>
      </c>
      <c r="H166" s="29" t="s">
        <v>290</v>
      </c>
      <c r="I166" s="30" t="s">
        <v>99</v>
      </c>
      <c r="J166" s="30" t="s">
        <v>99</v>
      </c>
      <c r="K166" s="30" t="s">
        <v>345</v>
      </c>
      <c r="L166" s="77" t="s">
        <v>99</v>
      </c>
      <c r="M166" s="77" t="s">
        <v>99</v>
      </c>
      <c r="N166" s="18"/>
      <c r="O166" s="88" t="s">
        <v>331</v>
      </c>
      <c r="P166" s="88" t="s">
        <v>331</v>
      </c>
      <c r="Q166" s="31" t="s">
        <v>99</v>
      </c>
      <c r="R166" s="31" t="s">
        <v>99</v>
      </c>
      <c r="S166" s="18"/>
      <c r="T166" s="18"/>
      <c r="U166" s="18"/>
      <c r="V166" s="18"/>
      <c r="W166" s="18"/>
      <c r="X166" s="28">
        <v>5</v>
      </c>
      <c r="Y166" s="28"/>
      <c r="Z166" s="18"/>
      <c r="AA166" s="93"/>
      <c r="AB166" s="28"/>
      <c r="AC166" s="28"/>
      <c r="AD166" s="18" t="s">
        <v>465</v>
      </c>
      <c r="AE166" s="93">
        <v>1</v>
      </c>
      <c r="AF166" s="18" t="s">
        <v>71</v>
      </c>
      <c r="AG166" s="56" t="s">
        <v>468</v>
      </c>
      <c r="AH166" s="16"/>
    </row>
    <row r="167" spans="1:34" s="4" customFormat="1">
      <c r="A167" s="51" t="s">
        <v>83</v>
      </c>
      <c r="B167" s="84" t="str">
        <f t="shared" si="5"/>
        <v/>
      </c>
      <c r="C167" s="83"/>
      <c r="D167" s="52" t="s">
        <v>436</v>
      </c>
      <c r="E167" s="52" t="s">
        <v>436</v>
      </c>
      <c r="F167" s="86">
        <v>45470</v>
      </c>
      <c r="G167" s="87" t="s">
        <v>469</v>
      </c>
      <c r="H167" s="29" t="s">
        <v>293</v>
      </c>
      <c r="I167" s="18"/>
      <c r="J167" s="18"/>
      <c r="K167" s="30">
        <v>4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>
        <v>5</v>
      </c>
      <c r="Y167" s="28"/>
      <c r="Z167" s="18"/>
      <c r="AA167" s="93"/>
      <c r="AB167" s="28" t="s">
        <v>246</v>
      </c>
      <c r="AC167" s="93">
        <v>0.25</v>
      </c>
      <c r="AD167" s="18" t="s">
        <v>465</v>
      </c>
      <c r="AE167" s="90">
        <v>0.75</v>
      </c>
      <c r="AF167" s="18" t="s">
        <v>71</v>
      </c>
      <c r="AG167" s="94" t="s">
        <v>290</v>
      </c>
      <c r="AH167" s="16"/>
    </row>
    <row r="168" spans="1:34">
      <c r="A168" s="51" t="s">
        <v>83</v>
      </c>
      <c r="B168" s="84" t="str">
        <f t="shared" si="5"/>
        <v/>
      </c>
      <c r="C168" s="83"/>
      <c r="D168" s="52" t="s">
        <v>436</v>
      </c>
      <c r="E168" s="52" t="s">
        <v>436</v>
      </c>
      <c r="F168" s="100">
        <v>47641</v>
      </c>
      <c r="G168" s="116" t="s">
        <v>470</v>
      </c>
      <c r="H168" s="29" t="s">
        <v>148</v>
      </c>
      <c r="I168" s="29"/>
      <c r="J168" s="29"/>
      <c r="K168" s="29"/>
      <c r="L168" s="82"/>
      <c r="M168" s="82"/>
      <c r="N168" s="82"/>
      <c r="O168" s="82"/>
      <c r="P168" s="82"/>
      <c r="Q168" s="82"/>
      <c r="R168" s="82"/>
      <c r="S168" s="82"/>
      <c r="T168" s="82"/>
      <c r="U168" s="39" t="s">
        <v>444</v>
      </c>
      <c r="V168" s="82"/>
      <c r="W168" s="82"/>
      <c r="X168" s="28">
        <v>5</v>
      </c>
      <c r="Y168" s="28"/>
      <c r="Z168" s="18"/>
      <c r="AA168" s="93"/>
      <c r="AB168" s="28"/>
      <c r="AC168" s="28"/>
      <c r="AD168" s="18" t="s">
        <v>448</v>
      </c>
      <c r="AE168" s="93">
        <v>1</v>
      </c>
      <c r="AF168" s="18" t="s">
        <v>71</v>
      </c>
      <c r="AG168" s="94" t="s">
        <v>160</v>
      </c>
      <c r="AH168" s="16"/>
    </row>
    <row r="169" spans="1:34" s="4" customFormat="1">
      <c r="A169" s="51" t="s">
        <v>83</v>
      </c>
      <c r="B169" s="84" t="str">
        <f t="shared" si="5"/>
        <v/>
      </c>
      <c r="C169" s="83"/>
      <c r="D169" s="52" t="s">
        <v>436</v>
      </c>
      <c r="E169" s="52" t="s">
        <v>436</v>
      </c>
      <c r="F169" s="100">
        <v>46904</v>
      </c>
      <c r="G169" s="101" t="s">
        <v>471</v>
      </c>
      <c r="H169" s="111" t="s">
        <v>318</v>
      </c>
      <c r="I169" s="30" t="s">
        <v>99</v>
      </c>
      <c r="J169" s="30" t="s">
        <v>99</v>
      </c>
      <c r="K169" s="30" t="s">
        <v>99</v>
      </c>
      <c r="L169" s="77" t="s">
        <v>99</v>
      </c>
      <c r="M169" s="77" t="s">
        <v>99</v>
      </c>
      <c r="N169" s="81" t="s">
        <v>99</v>
      </c>
      <c r="O169" s="88" t="s">
        <v>99</v>
      </c>
      <c r="P169" s="88" t="s">
        <v>99</v>
      </c>
      <c r="Q169" s="31" t="s">
        <v>99</v>
      </c>
      <c r="R169" s="31" t="s">
        <v>99</v>
      </c>
      <c r="S169" s="18"/>
      <c r="T169" s="18"/>
      <c r="U169" s="18"/>
      <c r="V169" s="18"/>
      <c r="W169" s="18"/>
      <c r="X169" s="28">
        <v>5</v>
      </c>
      <c r="Y169" s="28"/>
      <c r="Z169" s="18"/>
      <c r="AA169" s="93"/>
      <c r="AB169" s="28" t="s">
        <v>472</v>
      </c>
      <c r="AC169" s="93">
        <v>0.2</v>
      </c>
      <c r="AD169" s="83" t="s">
        <v>465</v>
      </c>
      <c r="AE169" s="90">
        <v>0.8</v>
      </c>
      <c r="AF169" s="18" t="s">
        <v>71</v>
      </c>
      <c r="AG169" s="110" t="s">
        <v>72</v>
      </c>
      <c r="AH169" s="16"/>
    </row>
    <row r="170" spans="1:34" ht="26.4">
      <c r="A170" s="51" t="s">
        <v>83</v>
      </c>
      <c r="B170" s="84" t="str">
        <f t="shared" si="5"/>
        <v/>
      </c>
      <c r="C170" s="83"/>
      <c r="D170" s="52" t="s">
        <v>436</v>
      </c>
      <c r="E170" s="52" t="s">
        <v>436</v>
      </c>
      <c r="F170" s="100">
        <v>46904</v>
      </c>
      <c r="G170" s="101" t="s">
        <v>473</v>
      </c>
      <c r="H170" s="111" t="s">
        <v>214</v>
      </c>
      <c r="I170" s="30" t="s">
        <v>99</v>
      </c>
      <c r="J170" s="30" t="s">
        <v>99</v>
      </c>
      <c r="K170" s="30" t="s">
        <v>99</v>
      </c>
      <c r="L170" s="77" t="s">
        <v>99</v>
      </c>
      <c r="M170" s="77" t="s">
        <v>99</v>
      </c>
      <c r="N170" s="81" t="s">
        <v>99</v>
      </c>
      <c r="O170" s="88" t="s">
        <v>99</v>
      </c>
      <c r="P170" s="88" t="s">
        <v>99</v>
      </c>
      <c r="Q170" s="31" t="s">
        <v>99</v>
      </c>
      <c r="R170" s="31" t="s">
        <v>99</v>
      </c>
      <c r="S170" s="18"/>
      <c r="T170" s="18"/>
      <c r="U170" s="18"/>
      <c r="V170" s="18"/>
      <c r="W170" s="18"/>
      <c r="X170" s="28">
        <v>5</v>
      </c>
      <c r="Y170" s="28"/>
      <c r="Z170" s="18"/>
      <c r="AA170" s="93" t="s">
        <v>12</v>
      </c>
      <c r="AB170" s="18" t="s">
        <v>287</v>
      </c>
      <c r="AC170" s="93">
        <v>0.25</v>
      </c>
      <c r="AD170" s="28" t="s">
        <v>465</v>
      </c>
      <c r="AE170" s="93">
        <v>0.75</v>
      </c>
      <c r="AF170" s="18" t="s">
        <v>71</v>
      </c>
      <c r="AG170" s="110" t="s">
        <v>72</v>
      </c>
      <c r="AH170" s="16"/>
    </row>
    <row r="171" spans="1:34">
      <c r="A171" s="51" t="s">
        <v>83</v>
      </c>
      <c r="B171" s="84" t="str">
        <f t="shared" si="5"/>
        <v/>
      </c>
      <c r="C171" s="83"/>
      <c r="D171" s="52" t="s">
        <v>436</v>
      </c>
      <c r="E171" s="52" t="s">
        <v>436</v>
      </c>
      <c r="F171" s="100">
        <v>46857</v>
      </c>
      <c r="G171" s="101" t="s">
        <v>474</v>
      </c>
      <c r="H171" s="29" t="s">
        <v>273</v>
      </c>
      <c r="I171" s="29"/>
      <c r="J171" s="29"/>
      <c r="K171" s="29"/>
      <c r="L171" s="18"/>
      <c r="M171" s="18"/>
      <c r="N171" s="18"/>
      <c r="O171" s="18"/>
      <c r="P171" s="18"/>
      <c r="Q171" s="18"/>
      <c r="R171" s="18"/>
      <c r="S171" s="78" t="s">
        <v>264</v>
      </c>
      <c r="T171" s="78" t="s">
        <v>264</v>
      </c>
      <c r="U171" s="80" t="s">
        <v>397</v>
      </c>
      <c r="V171" s="79" t="s">
        <v>264</v>
      </c>
      <c r="W171" s="18"/>
      <c r="X171" s="28">
        <v>5</v>
      </c>
      <c r="Y171" s="28"/>
      <c r="Z171" s="18"/>
      <c r="AA171" s="93"/>
      <c r="AB171" s="28"/>
      <c r="AC171" s="93"/>
      <c r="AD171" s="18" t="s">
        <v>475</v>
      </c>
      <c r="AE171" s="90">
        <v>1</v>
      </c>
      <c r="AF171" s="18" t="s">
        <v>71</v>
      </c>
      <c r="AG171" s="110" t="s">
        <v>318</v>
      </c>
      <c r="AH171" s="16"/>
    </row>
    <row r="172" spans="1:34">
      <c r="A172" s="51" t="s">
        <v>83</v>
      </c>
      <c r="B172" s="84" t="str">
        <f t="shared" si="5"/>
        <v/>
      </c>
      <c r="C172" s="83"/>
      <c r="D172" s="52" t="s">
        <v>436</v>
      </c>
      <c r="E172" s="52" t="s">
        <v>436</v>
      </c>
      <c r="F172" s="223">
        <v>46915</v>
      </c>
      <c r="G172" s="245" t="s">
        <v>476</v>
      </c>
      <c r="H172" s="29" t="s">
        <v>181</v>
      </c>
      <c r="I172" s="29"/>
      <c r="J172" s="29"/>
      <c r="K172" s="29"/>
      <c r="L172" s="18" t="s">
        <v>12</v>
      </c>
      <c r="M172" s="18"/>
      <c r="N172" s="18"/>
      <c r="O172" s="18"/>
      <c r="P172" s="18"/>
      <c r="Q172" s="18"/>
      <c r="R172" s="18"/>
      <c r="S172" s="53"/>
      <c r="T172" s="78" t="s">
        <v>99</v>
      </c>
      <c r="U172" s="39" t="s">
        <v>99</v>
      </c>
      <c r="V172" s="79" t="s">
        <v>264</v>
      </c>
      <c r="W172" s="18"/>
      <c r="X172" s="28">
        <v>5</v>
      </c>
      <c r="Y172" s="28"/>
      <c r="Z172" s="18"/>
      <c r="AA172" s="93"/>
      <c r="AB172" s="18" t="s">
        <v>12</v>
      </c>
      <c r="AC172" s="93"/>
      <c r="AD172" s="18" t="s">
        <v>465</v>
      </c>
      <c r="AE172" s="93">
        <v>1</v>
      </c>
      <c r="AF172" s="18" t="s">
        <v>71</v>
      </c>
      <c r="AG172" s="16" t="s">
        <v>72</v>
      </c>
      <c r="AH172" s="16"/>
    </row>
    <row r="173" spans="1:34">
      <c r="A173" s="51" t="s">
        <v>83</v>
      </c>
      <c r="B173" s="84" t="str">
        <f t="shared" si="5"/>
        <v/>
      </c>
      <c r="C173" s="83"/>
      <c r="D173" s="52" t="s">
        <v>436</v>
      </c>
      <c r="E173" s="52" t="s">
        <v>436</v>
      </c>
      <c r="F173" s="100">
        <v>46863</v>
      </c>
      <c r="G173" s="116" t="s">
        <v>477</v>
      </c>
      <c r="H173" s="18" t="s">
        <v>478</v>
      </c>
      <c r="I173" s="29"/>
      <c r="J173" s="29"/>
      <c r="K173" s="29"/>
      <c r="L173" s="18"/>
      <c r="M173" s="18"/>
      <c r="N173" s="18"/>
      <c r="O173" s="18"/>
      <c r="P173" s="18"/>
      <c r="Q173" s="18"/>
      <c r="R173" s="18"/>
      <c r="S173" s="78" t="s">
        <v>99</v>
      </c>
      <c r="T173" s="78" t="s">
        <v>479</v>
      </c>
      <c r="U173" s="18"/>
      <c r="V173" s="18"/>
      <c r="W173" s="18"/>
      <c r="X173" s="28">
        <v>5</v>
      </c>
      <c r="Y173" s="28"/>
      <c r="Z173" s="18"/>
      <c r="AA173" s="93"/>
      <c r="AB173" s="18" t="s">
        <v>480</v>
      </c>
      <c r="AC173" s="93">
        <v>0.25</v>
      </c>
      <c r="AD173" s="18" t="s">
        <v>465</v>
      </c>
      <c r="AE173" s="90">
        <v>0.75</v>
      </c>
      <c r="AF173" s="18" t="s">
        <v>71</v>
      </c>
      <c r="AG173" s="110" t="s">
        <v>217</v>
      </c>
      <c r="AH173" s="16"/>
    </row>
    <row r="174" spans="1:34" ht="26.4">
      <c r="A174" s="51" t="s">
        <v>83</v>
      </c>
      <c r="B174" s="84" t="str">
        <f t="shared" si="5"/>
        <v/>
      </c>
      <c r="C174" s="83"/>
      <c r="D174" s="52" t="s">
        <v>436</v>
      </c>
      <c r="E174" s="52" t="s">
        <v>436</v>
      </c>
      <c r="F174" s="104">
        <v>46808</v>
      </c>
      <c r="G174" s="114" t="s">
        <v>481</v>
      </c>
      <c r="H174" s="111" t="s">
        <v>482</v>
      </c>
      <c r="I174" s="30" t="s">
        <v>336</v>
      </c>
      <c r="J174" s="30" t="s">
        <v>99</v>
      </c>
      <c r="K174" s="30" t="s">
        <v>99</v>
      </c>
      <c r="L174" s="77" t="s">
        <v>99</v>
      </c>
      <c r="M174" s="77" t="s">
        <v>99</v>
      </c>
      <c r="N174" s="81" t="s">
        <v>99</v>
      </c>
      <c r="O174" s="18"/>
      <c r="P174" s="18"/>
      <c r="Q174" s="31">
        <v>7</v>
      </c>
      <c r="R174" s="31" t="s">
        <v>99</v>
      </c>
      <c r="S174" s="18"/>
      <c r="T174" s="18"/>
      <c r="U174" s="18"/>
      <c r="V174" s="18"/>
      <c r="W174" s="18"/>
      <c r="X174" s="28">
        <v>5</v>
      </c>
      <c r="Y174" s="28"/>
      <c r="Z174" s="18"/>
      <c r="AA174" s="93"/>
      <c r="AB174" s="18" t="s">
        <v>483</v>
      </c>
      <c r="AC174" s="247">
        <v>0.7</v>
      </c>
      <c r="AD174" s="18" t="s">
        <v>484</v>
      </c>
      <c r="AE174" s="93">
        <v>0.3</v>
      </c>
      <c r="AF174" s="18" t="s">
        <v>71</v>
      </c>
      <c r="AG174" s="94" t="s">
        <v>337</v>
      </c>
      <c r="AH174" s="16"/>
    </row>
    <row r="175" spans="1:34">
      <c r="A175" s="134"/>
      <c r="B175" s="135"/>
      <c r="C175" s="136"/>
      <c r="D175" s="137" t="s">
        <v>436</v>
      </c>
      <c r="E175" s="137" t="s">
        <v>436</v>
      </c>
      <c r="F175" s="174">
        <v>46811</v>
      </c>
      <c r="G175" s="175" t="s">
        <v>127</v>
      </c>
      <c r="H175" s="180" t="s">
        <v>243</v>
      </c>
      <c r="I175" s="193" t="s">
        <v>99</v>
      </c>
      <c r="J175" s="193" t="s">
        <v>99</v>
      </c>
      <c r="K175" s="193" t="s">
        <v>99</v>
      </c>
      <c r="L175" s="141" t="s">
        <v>99</v>
      </c>
      <c r="M175" s="141" t="s">
        <v>99</v>
      </c>
      <c r="N175" s="142" t="s">
        <v>99</v>
      </c>
      <c r="O175" s="59"/>
      <c r="P175" s="59"/>
      <c r="Q175" s="195" t="s">
        <v>99</v>
      </c>
      <c r="R175" s="195" t="s">
        <v>99</v>
      </c>
      <c r="S175" s="59"/>
      <c r="T175" s="59"/>
      <c r="U175" s="59"/>
      <c r="V175" s="59"/>
      <c r="W175" s="59"/>
      <c r="X175" s="143">
        <v>5</v>
      </c>
      <c r="Y175" s="143"/>
      <c r="Z175" s="59"/>
      <c r="AA175" s="146"/>
      <c r="AB175" s="143"/>
      <c r="AC175" s="143"/>
      <c r="AD175" s="59" t="s">
        <v>465</v>
      </c>
      <c r="AE175" s="146">
        <v>1</v>
      </c>
      <c r="AF175" s="59" t="s">
        <v>244</v>
      </c>
      <c r="AG175" s="68" t="s">
        <v>130</v>
      </c>
      <c r="AH175" s="58"/>
    </row>
    <row r="176" spans="1:34" ht="26.4">
      <c r="A176" s="51" t="s">
        <v>83</v>
      </c>
      <c r="B176" s="84" t="str">
        <f t="shared" ref="B176:B217" si="6">IF(C176="","",C176)</f>
        <v/>
      </c>
      <c r="C176" s="83"/>
      <c r="D176" s="52" t="s">
        <v>436</v>
      </c>
      <c r="E176" s="52" t="s">
        <v>436</v>
      </c>
      <c r="F176" s="86">
        <v>46843</v>
      </c>
      <c r="G176" s="87" t="s">
        <v>485</v>
      </c>
      <c r="H176" s="29" t="s">
        <v>275</v>
      </c>
      <c r="I176" s="30" t="s">
        <v>99</v>
      </c>
      <c r="J176" s="30" t="s">
        <v>99</v>
      </c>
      <c r="K176" s="30" t="s">
        <v>345</v>
      </c>
      <c r="L176" s="77" t="s">
        <v>99</v>
      </c>
      <c r="M176" s="77" t="s">
        <v>99</v>
      </c>
      <c r="N176" s="81" t="s">
        <v>99</v>
      </c>
      <c r="O176" s="88" t="s">
        <v>99</v>
      </c>
      <c r="P176" s="88" t="s">
        <v>99</v>
      </c>
      <c r="Q176" s="18"/>
      <c r="R176" s="18"/>
      <c r="S176" s="18"/>
      <c r="T176" s="18"/>
      <c r="U176" s="18"/>
      <c r="V176" s="18"/>
      <c r="W176" s="18"/>
      <c r="X176" s="28">
        <v>5</v>
      </c>
      <c r="Y176" s="28"/>
      <c r="Z176" s="18"/>
      <c r="AA176" s="93"/>
      <c r="AB176" s="18" t="s">
        <v>408</v>
      </c>
      <c r="AC176" s="93">
        <v>0.3</v>
      </c>
      <c r="AD176" s="18" t="s">
        <v>465</v>
      </c>
      <c r="AE176" s="93">
        <v>0.7</v>
      </c>
      <c r="AF176" s="18" t="s">
        <v>71</v>
      </c>
      <c r="AG176" s="110" t="s">
        <v>68</v>
      </c>
      <c r="AH176" s="16"/>
    </row>
    <row r="177" spans="1:34">
      <c r="A177" s="51" t="s">
        <v>83</v>
      </c>
      <c r="B177" s="84" t="str">
        <f t="shared" si="6"/>
        <v/>
      </c>
      <c r="C177" s="148"/>
      <c r="D177" s="52" t="s">
        <v>436</v>
      </c>
      <c r="E177" s="52" t="s">
        <v>436</v>
      </c>
      <c r="F177" s="119">
        <v>44270</v>
      </c>
      <c r="G177" s="120" t="s">
        <v>486</v>
      </c>
      <c r="H177" s="29" t="s">
        <v>290</v>
      </c>
      <c r="I177" s="29"/>
      <c r="J177" s="29"/>
      <c r="K177" s="30">
        <v>4</v>
      </c>
      <c r="L177" s="29"/>
      <c r="M177" s="29"/>
      <c r="N177" s="29"/>
      <c r="O177" s="29"/>
      <c r="P177" s="29"/>
      <c r="Q177" s="29"/>
      <c r="R177" s="29"/>
      <c r="S177" s="18"/>
      <c r="T177" s="18"/>
      <c r="U177" s="18"/>
      <c r="V177" s="18"/>
      <c r="W177" s="18"/>
      <c r="X177" s="28">
        <v>5</v>
      </c>
      <c r="Y177" s="28"/>
      <c r="Z177" s="18"/>
      <c r="AA177" s="93"/>
      <c r="AB177" s="74" t="s">
        <v>287</v>
      </c>
      <c r="AC177" s="93">
        <v>0.2</v>
      </c>
      <c r="AD177" s="18" t="s">
        <v>465</v>
      </c>
      <c r="AE177" s="90">
        <v>0.8</v>
      </c>
      <c r="AF177" s="18" t="s">
        <v>71</v>
      </c>
      <c r="AG177" s="94" t="s">
        <v>487</v>
      </c>
      <c r="AH177" s="16"/>
    </row>
    <row r="178" spans="1:34" s="4" customFormat="1">
      <c r="A178" s="51" t="s">
        <v>83</v>
      </c>
      <c r="B178" s="84" t="str">
        <f t="shared" si="6"/>
        <v/>
      </c>
      <c r="C178" s="83"/>
      <c r="D178" s="52" t="s">
        <v>436</v>
      </c>
      <c r="E178" s="52" t="s">
        <v>436</v>
      </c>
      <c r="F178" s="100">
        <v>43460</v>
      </c>
      <c r="G178" s="101" t="s">
        <v>488</v>
      </c>
      <c r="H178" s="18" t="s">
        <v>489</v>
      </c>
      <c r="I178" s="18"/>
      <c r="J178" s="18"/>
      <c r="K178" s="30">
        <v>3</v>
      </c>
      <c r="L178" s="18" t="s">
        <v>12</v>
      </c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>
        <v>5</v>
      </c>
      <c r="Y178" s="28"/>
      <c r="Z178" s="18"/>
      <c r="AA178" s="93"/>
      <c r="AB178" s="28" t="s">
        <v>490</v>
      </c>
      <c r="AC178" s="93">
        <v>0.4</v>
      </c>
      <c r="AD178" s="18" t="s">
        <v>465</v>
      </c>
      <c r="AE178" s="93">
        <v>0.6</v>
      </c>
      <c r="AF178" s="18" t="s">
        <v>71</v>
      </c>
      <c r="AG178" s="110" t="s">
        <v>344</v>
      </c>
      <c r="AH178" s="16"/>
    </row>
    <row r="179" spans="1:34" s="5" customFormat="1">
      <c r="A179" s="51" t="s">
        <v>83</v>
      </c>
      <c r="B179" s="84" t="str">
        <f t="shared" si="6"/>
        <v/>
      </c>
      <c r="C179" s="83"/>
      <c r="D179" s="52" t="s">
        <v>436</v>
      </c>
      <c r="E179" s="52" t="s">
        <v>436</v>
      </c>
      <c r="F179" s="86">
        <v>44381</v>
      </c>
      <c r="G179" s="87" t="s">
        <v>491</v>
      </c>
      <c r="H179" s="108" t="s">
        <v>167</v>
      </c>
      <c r="I179" s="117"/>
      <c r="J179" s="117"/>
      <c r="K179" s="117"/>
      <c r="L179" s="18"/>
      <c r="M179" s="18"/>
      <c r="N179" s="81">
        <v>4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28">
        <v>5</v>
      </c>
      <c r="Y179" s="28"/>
      <c r="Z179" s="28"/>
      <c r="AA179" s="93"/>
      <c r="AB179" s="28" t="s">
        <v>492</v>
      </c>
      <c r="AC179" s="93">
        <v>1</v>
      </c>
      <c r="AD179" s="18" t="s">
        <v>71</v>
      </c>
      <c r="AE179" s="18" t="s">
        <v>71</v>
      </c>
      <c r="AF179" s="18" t="s">
        <v>71</v>
      </c>
      <c r="AG179" s="118" t="s">
        <v>165</v>
      </c>
      <c r="AH179" s="16"/>
    </row>
    <row r="180" spans="1:34" s="7" customFormat="1">
      <c r="A180" s="51" t="s">
        <v>83</v>
      </c>
      <c r="B180" s="84" t="str">
        <f t="shared" si="6"/>
        <v/>
      </c>
      <c r="C180" s="83"/>
      <c r="D180" s="52" t="s">
        <v>436</v>
      </c>
      <c r="E180" s="52" t="s">
        <v>436</v>
      </c>
      <c r="F180" s="86">
        <v>46816</v>
      </c>
      <c r="G180" s="87" t="s">
        <v>493</v>
      </c>
      <c r="H180" s="29" t="s">
        <v>286</v>
      </c>
      <c r="I180" s="29"/>
      <c r="J180" s="29"/>
      <c r="K180" s="29"/>
      <c r="L180" s="18"/>
      <c r="M180" s="18"/>
      <c r="N180" s="18"/>
      <c r="O180" s="18"/>
      <c r="P180" s="18"/>
      <c r="Q180" s="18"/>
      <c r="R180" s="18"/>
      <c r="S180" s="78" t="s">
        <v>99</v>
      </c>
      <c r="T180" s="78" t="s">
        <v>479</v>
      </c>
      <c r="U180" s="18"/>
      <c r="V180" s="18"/>
      <c r="W180" s="18"/>
      <c r="X180" s="28">
        <v>5</v>
      </c>
      <c r="Y180" s="28"/>
      <c r="Z180" s="18"/>
      <c r="AA180" s="93"/>
      <c r="AB180" s="18" t="s">
        <v>494</v>
      </c>
      <c r="AC180" s="93">
        <v>0.3</v>
      </c>
      <c r="AD180" s="18" t="s">
        <v>465</v>
      </c>
      <c r="AE180" s="93">
        <v>0.7</v>
      </c>
      <c r="AF180" s="18" t="s">
        <v>71</v>
      </c>
      <c r="AG180" s="110" t="s">
        <v>214</v>
      </c>
      <c r="AH180" s="16"/>
    </row>
    <row r="181" spans="1:34" s="4" customFormat="1">
      <c r="A181" s="51" t="s">
        <v>83</v>
      </c>
      <c r="B181" s="84" t="str">
        <f t="shared" si="6"/>
        <v/>
      </c>
      <c r="C181" s="83"/>
      <c r="D181" s="52" t="s">
        <v>436</v>
      </c>
      <c r="E181" s="52" t="s">
        <v>436</v>
      </c>
      <c r="F181" s="100">
        <v>46850</v>
      </c>
      <c r="G181" s="101" t="s">
        <v>495</v>
      </c>
      <c r="H181" s="29" t="s">
        <v>298</v>
      </c>
      <c r="I181" s="29"/>
      <c r="J181" s="29"/>
      <c r="K181" s="29"/>
      <c r="L181" s="18"/>
      <c r="M181" s="18"/>
      <c r="N181" s="18"/>
      <c r="O181" s="18"/>
      <c r="P181" s="18"/>
      <c r="Q181" s="18"/>
      <c r="R181" s="18"/>
      <c r="S181" s="78" t="s">
        <v>99</v>
      </c>
      <c r="T181" s="78" t="s">
        <v>479</v>
      </c>
      <c r="U181" s="18"/>
      <c r="V181" s="18"/>
      <c r="W181" s="18"/>
      <c r="X181" s="28">
        <v>5</v>
      </c>
      <c r="Y181" s="28"/>
      <c r="Z181" s="18"/>
      <c r="AA181" s="93"/>
      <c r="AB181" s="18"/>
      <c r="AC181" s="93"/>
      <c r="AD181" s="18" t="s">
        <v>465</v>
      </c>
      <c r="AE181" s="93">
        <v>1</v>
      </c>
      <c r="AF181" s="18" t="s">
        <v>71</v>
      </c>
      <c r="AG181" s="196" t="s">
        <v>183</v>
      </c>
      <c r="AH181" s="16"/>
    </row>
    <row r="182" spans="1:34" s="4" customFormat="1" ht="41.4">
      <c r="A182" s="51" t="s">
        <v>83</v>
      </c>
      <c r="B182" s="84" t="str">
        <f t="shared" si="6"/>
        <v/>
      </c>
      <c r="C182" s="83"/>
      <c r="D182" s="52" t="s">
        <v>436</v>
      </c>
      <c r="E182" s="52" t="s">
        <v>436</v>
      </c>
      <c r="F182" s="100">
        <v>46907</v>
      </c>
      <c r="G182" s="116" t="s">
        <v>496</v>
      </c>
      <c r="H182" s="29" t="s">
        <v>344</v>
      </c>
      <c r="I182" s="30" t="s">
        <v>99</v>
      </c>
      <c r="J182" s="74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>
        <v>5</v>
      </c>
      <c r="Y182" s="28"/>
      <c r="Z182" s="18"/>
      <c r="AA182" s="93"/>
      <c r="AB182" s="28"/>
      <c r="AC182" s="28"/>
      <c r="AD182" s="19" t="s">
        <v>497</v>
      </c>
      <c r="AE182" s="93">
        <v>1</v>
      </c>
      <c r="AF182" s="18" t="s">
        <v>71</v>
      </c>
      <c r="AG182" s="72" t="s">
        <v>498</v>
      </c>
      <c r="AH182" s="16"/>
    </row>
    <row r="183" spans="1:34" s="4" customFormat="1">
      <c r="A183" s="51" t="s">
        <v>83</v>
      </c>
      <c r="B183" s="84" t="str">
        <f t="shared" si="6"/>
        <v/>
      </c>
      <c r="C183" s="83"/>
      <c r="D183" s="52" t="s">
        <v>436</v>
      </c>
      <c r="E183" s="52" t="s">
        <v>436</v>
      </c>
      <c r="F183" s="100">
        <v>47717</v>
      </c>
      <c r="G183" s="101" t="s">
        <v>499</v>
      </c>
      <c r="H183" s="66" t="s">
        <v>500</v>
      </c>
      <c r="I183" s="66"/>
      <c r="J183" s="66"/>
      <c r="K183" s="66"/>
      <c r="L183" s="18"/>
      <c r="M183" s="18"/>
      <c r="N183" s="18"/>
      <c r="O183" s="18"/>
      <c r="P183" s="18"/>
      <c r="Q183" s="18"/>
      <c r="R183" s="18"/>
      <c r="S183" s="18"/>
      <c r="T183" s="18"/>
      <c r="U183" s="80" t="s">
        <v>357</v>
      </c>
      <c r="V183" s="18"/>
      <c r="W183" s="18"/>
      <c r="X183" s="28">
        <v>5</v>
      </c>
      <c r="Y183" s="28"/>
      <c r="Z183" s="18"/>
      <c r="AA183" s="93"/>
      <c r="AB183" s="18" t="s">
        <v>501</v>
      </c>
      <c r="AC183" s="93">
        <v>0.33329999999999999</v>
      </c>
      <c r="AD183" s="18" t="s">
        <v>465</v>
      </c>
      <c r="AE183" s="93">
        <v>0.66669999999999996</v>
      </c>
      <c r="AF183" s="18" t="s">
        <v>71</v>
      </c>
      <c r="AG183" s="197" t="s">
        <v>502</v>
      </c>
      <c r="AH183" s="16"/>
    </row>
    <row r="184" spans="1:34" s="4" customFormat="1">
      <c r="A184" s="51" t="s">
        <v>83</v>
      </c>
      <c r="B184" s="84" t="str">
        <f t="shared" si="6"/>
        <v/>
      </c>
      <c r="C184" s="83"/>
      <c r="D184" s="52" t="s">
        <v>436</v>
      </c>
      <c r="E184" s="52" t="s">
        <v>436</v>
      </c>
      <c r="F184" s="100">
        <v>46900</v>
      </c>
      <c r="G184" s="101" t="s">
        <v>503</v>
      </c>
      <c r="H184" s="265" t="s">
        <v>273</v>
      </c>
      <c r="I184" s="30" t="s">
        <v>99</v>
      </c>
      <c r="J184" s="18"/>
      <c r="K184" s="30" t="s">
        <v>99</v>
      </c>
      <c r="L184" s="77" t="s">
        <v>99</v>
      </c>
      <c r="M184" s="77" t="s">
        <v>99</v>
      </c>
      <c r="N184" s="18"/>
      <c r="O184" s="88" t="s">
        <v>309</v>
      </c>
      <c r="P184" s="88" t="s">
        <v>309</v>
      </c>
      <c r="Q184" s="31" t="s">
        <v>99</v>
      </c>
      <c r="R184" s="31" t="s">
        <v>99</v>
      </c>
      <c r="S184" s="18"/>
      <c r="T184" s="18"/>
      <c r="U184" s="18"/>
      <c r="V184" s="18"/>
      <c r="W184" s="18"/>
      <c r="X184" s="18">
        <v>5</v>
      </c>
      <c r="Y184" s="18"/>
      <c r="Z184" s="18"/>
      <c r="AA184" s="90"/>
      <c r="AB184" s="18"/>
      <c r="AC184" s="18"/>
      <c r="AD184" s="18" t="s">
        <v>475</v>
      </c>
      <c r="AE184" s="90">
        <v>1</v>
      </c>
      <c r="AF184" s="18" t="s">
        <v>71</v>
      </c>
      <c r="AG184" s="110" t="s">
        <v>318</v>
      </c>
      <c r="AH184" s="16"/>
    </row>
    <row r="185" spans="1:34" s="4" customFormat="1">
      <c r="A185" s="51" t="s">
        <v>83</v>
      </c>
      <c r="B185" s="84" t="str">
        <f t="shared" si="6"/>
        <v/>
      </c>
      <c r="C185" s="83"/>
      <c r="D185" s="52" t="s">
        <v>436</v>
      </c>
      <c r="E185" s="52" t="s">
        <v>436</v>
      </c>
      <c r="F185" s="86">
        <v>46886</v>
      </c>
      <c r="G185" s="87" t="s">
        <v>504</v>
      </c>
      <c r="H185" s="29" t="s">
        <v>243</v>
      </c>
      <c r="I185" s="29"/>
      <c r="J185" s="29"/>
      <c r="K185" s="29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79" t="s">
        <v>99</v>
      </c>
      <c r="W185" s="18"/>
      <c r="X185" s="28">
        <v>5</v>
      </c>
      <c r="Y185" s="28"/>
      <c r="Z185" s="18"/>
      <c r="AA185" s="93"/>
      <c r="AB185" s="28"/>
      <c r="AC185" s="93"/>
      <c r="AD185" s="18" t="s">
        <v>505</v>
      </c>
      <c r="AE185" s="93">
        <v>1</v>
      </c>
      <c r="AF185" s="18" t="s">
        <v>244</v>
      </c>
      <c r="AG185" s="94" t="s">
        <v>188</v>
      </c>
      <c r="AH185" s="16"/>
    </row>
    <row r="186" spans="1:34" s="4" customFormat="1">
      <c r="A186" s="51" t="s">
        <v>83</v>
      </c>
      <c r="B186" s="84" t="str">
        <f t="shared" si="6"/>
        <v/>
      </c>
      <c r="C186" s="83"/>
      <c r="D186" s="52" t="s">
        <v>436</v>
      </c>
      <c r="E186" s="52" t="s">
        <v>436</v>
      </c>
      <c r="F186" s="86">
        <v>46825</v>
      </c>
      <c r="G186" s="87" t="s">
        <v>506</v>
      </c>
      <c r="H186" s="18" t="s">
        <v>507</v>
      </c>
      <c r="I186" s="30" t="s">
        <v>99</v>
      </c>
      <c r="J186" s="18"/>
      <c r="K186" s="30" t="s">
        <v>99</v>
      </c>
      <c r="L186" s="18"/>
      <c r="M186" s="77" t="s">
        <v>99</v>
      </c>
      <c r="N186" s="18"/>
      <c r="O186" s="18"/>
      <c r="P186" s="18"/>
      <c r="Q186" s="31" t="s">
        <v>99</v>
      </c>
      <c r="R186" s="18"/>
      <c r="S186" s="18"/>
      <c r="T186" s="18"/>
      <c r="U186" s="18"/>
      <c r="V186" s="18"/>
      <c r="W186" s="18"/>
      <c r="X186" s="28">
        <v>5</v>
      </c>
      <c r="Y186" s="28"/>
      <c r="Z186" s="18"/>
      <c r="AA186" s="93"/>
      <c r="AB186" s="28"/>
      <c r="AC186" s="28"/>
      <c r="AD186" s="18" t="s">
        <v>448</v>
      </c>
      <c r="AE186" s="93">
        <v>1</v>
      </c>
      <c r="AF186" s="18" t="s">
        <v>71</v>
      </c>
      <c r="AG186" s="110" t="s">
        <v>344</v>
      </c>
      <c r="AH186" s="16"/>
    </row>
    <row r="187" spans="1:34" s="4" customFormat="1">
      <c r="A187" s="134"/>
      <c r="B187" s="135" t="str">
        <f t="shared" si="6"/>
        <v/>
      </c>
      <c r="C187" s="136"/>
      <c r="D187" s="137" t="s">
        <v>436</v>
      </c>
      <c r="E187" s="137" t="s">
        <v>436</v>
      </c>
      <c r="F187" s="174">
        <v>46829</v>
      </c>
      <c r="G187" s="175" t="s">
        <v>607</v>
      </c>
      <c r="H187" s="180" t="s">
        <v>188</v>
      </c>
      <c r="I187" s="180"/>
      <c r="J187" s="180"/>
      <c r="K187" s="180"/>
      <c r="L187" s="59"/>
      <c r="M187" s="59"/>
      <c r="N187" s="59"/>
      <c r="O187" s="59"/>
      <c r="P187" s="59"/>
      <c r="Q187" s="59"/>
      <c r="R187" s="59"/>
      <c r="S187" s="181" t="s">
        <v>99</v>
      </c>
      <c r="T187" s="181" t="s">
        <v>479</v>
      </c>
      <c r="U187" s="59"/>
      <c r="V187" s="59"/>
      <c r="W187" s="59"/>
      <c r="X187" s="143">
        <v>5</v>
      </c>
      <c r="Y187" s="143"/>
      <c r="Z187" s="59"/>
      <c r="AA187" s="146"/>
      <c r="AB187" s="143" t="s">
        <v>608</v>
      </c>
      <c r="AC187" s="146">
        <v>0.3</v>
      </c>
      <c r="AD187" s="143" t="s">
        <v>609</v>
      </c>
      <c r="AE187" s="146">
        <v>0.7</v>
      </c>
      <c r="AF187" s="59" t="s">
        <v>610</v>
      </c>
      <c r="AG187" s="201" t="s">
        <v>214</v>
      </c>
      <c r="AH187" s="58"/>
    </row>
    <row r="188" spans="1:34" s="4" customFormat="1">
      <c r="A188" s="51" t="s">
        <v>83</v>
      </c>
      <c r="B188" s="84" t="str">
        <f t="shared" si="6"/>
        <v/>
      </c>
      <c r="C188" s="83"/>
      <c r="D188" s="52" t="s">
        <v>436</v>
      </c>
      <c r="E188" s="52" t="s">
        <v>436</v>
      </c>
      <c r="F188" s="119">
        <v>46263</v>
      </c>
      <c r="G188" s="155" t="s">
        <v>508</v>
      </c>
      <c r="H188" s="29" t="s">
        <v>148</v>
      </c>
      <c r="I188" s="29"/>
      <c r="J188" s="29"/>
      <c r="K188" s="29"/>
      <c r="L188" s="18"/>
      <c r="M188" s="77">
        <v>6</v>
      </c>
      <c r="N188" s="53"/>
      <c r="O188" s="53"/>
      <c r="P188" s="53"/>
      <c r="Q188" s="18"/>
      <c r="R188" s="18"/>
      <c r="S188" s="18"/>
      <c r="T188" s="18"/>
      <c r="U188" s="18"/>
      <c r="V188" s="18"/>
      <c r="W188" s="18"/>
      <c r="X188" s="28">
        <v>5</v>
      </c>
      <c r="Y188" s="28"/>
      <c r="Z188" s="18"/>
      <c r="AA188" s="93"/>
      <c r="AB188" s="28"/>
      <c r="AC188" s="28"/>
      <c r="AD188" s="18" t="s">
        <v>71</v>
      </c>
      <c r="AE188" s="93">
        <v>1</v>
      </c>
      <c r="AF188" s="18" t="s">
        <v>71</v>
      </c>
      <c r="AG188" s="56" t="s">
        <v>71</v>
      </c>
      <c r="AH188" s="16"/>
    </row>
    <row r="189" spans="1:34" s="4" customFormat="1">
      <c r="A189" s="51" t="s">
        <v>83</v>
      </c>
      <c r="B189" s="84" t="str">
        <f t="shared" si="6"/>
        <v/>
      </c>
      <c r="C189" s="83"/>
      <c r="D189" s="52" t="s">
        <v>436</v>
      </c>
      <c r="E189" s="52" t="s">
        <v>436</v>
      </c>
      <c r="F189" s="119">
        <v>46263</v>
      </c>
      <c r="G189" s="155" t="s">
        <v>509</v>
      </c>
      <c r="H189" s="29" t="s">
        <v>300</v>
      </c>
      <c r="I189" s="29"/>
      <c r="J189" s="29"/>
      <c r="K189" s="29"/>
      <c r="L189" s="18"/>
      <c r="M189" s="18"/>
      <c r="N189" s="53"/>
      <c r="O189" s="88">
        <v>6</v>
      </c>
      <c r="P189" s="88">
        <v>6</v>
      </c>
      <c r="Q189" s="31">
        <v>6</v>
      </c>
      <c r="R189" s="31">
        <v>6</v>
      </c>
      <c r="S189" s="18"/>
      <c r="T189" s="18"/>
      <c r="U189" s="18"/>
      <c r="V189" s="18"/>
      <c r="W189" s="18"/>
      <c r="X189" s="28">
        <v>5</v>
      </c>
      <c r="Y189" s="28"/>
      <c r="Z189" s="18"/>
      <c r="AA189" s="93"/>
      <c r="AB189" s="28"/>
      <c r="AC189" s="28"/>
      <c r="AD189" s="18" t="s">
        <v>71</v>
      </c>
      <c r="AE189" s="93">
        <v>1</v>
      </c>
      <c r="AF189" s="18" t="s">
        <v>71</v>
      </c>
      <c r="AG189" s="56" t="s">
        <v>71</v>
      </c>
      <c r="AH189" s="16"/>
    </row>
    <row r="190" spans="1:34" s="4" customFormat="1">
      <c r="A190" s="51" t="s">
        <v>83</v>
      </c>
      <c r="B190" s="84" t="str">
        <f t="shared" si="6"/>
        <v/>
      </c>
      <c r="C190" s="83"/>
      <c r="D190" s="52" t="s">
        <v>436</v>
      </c>
      <c r="E190" s="52" t="s">
        <v>436</v>
      </c>
      <c r="F190" s="112">
        <v>46184</v>
      </c>
      <c r="G190" s="113" t="s">
        <v>510</v>
      </c>
      <c r="H190" s="29" t="s">
        <v>183</v>
      </c>
      <c r="I190" s="29"/>
      <c r="J190" s="29"/>
      <c r="K190" s="29"/>
      <c r="L190" s="18"/>
      <c r="M190" s="18"/>
      <c r="N190" s="18"/>
      <c r="O190" s="18"/>
      <c r="P190" s="18"/>
      <c r="Q190" s="31">
        <v>7</v>
      </c>
      <c r="R190" s="31">
        <v>7</v>
      </c>
      <c r="S190" s="18"/>
      <c r="T190" s="18"/>
      <c r="U190" s="18"/>
      <c r="V190" s="18"/>
      <c r="W190" s="18"/>
      <c r="X190" s="28">
        <v>5</v>
      </c>
      <c r="Y190" s="18" t="s">
        <v>511</v>
      </c>
      <c r="Z190" s="74"/>
      <c r="AA190" s="109"/>
      <c r="AB190" s="74"/>
      <c r="AC190" s="74"/>
      <c r="AD190" s="74" t="s">
        <v>448</v>
      </c>
      <c r="AE190" s="103">
        <v>1</v>
      </c>
      <c r="AF190" s="18" t="s">
        <v>71</v>
      </c>
      <c r="AG190" s="72" t="s">
        <v>512</v>
      </c>
      <c r="AH190" s="16"/>
    </row>
    <row r="191" spans="1:34">
      <c r="A191" s="51" t="s">
        <v>83</v>
      </c>
      <c r="B191" s="84" t="str">
        <f t="shared" si="6"/>
        <v/>
      </c>
      <c r="C191" s="83"/>
      <c r="D191" s="52" t="s">
        <v>436</v>
      </c>
      <c r="E191" s="52" t="s">
        <v>436</v>
      </c>
      <c r="F191" s="112">
        <v>45203</v>
      </c>
      <c r="G191" s="113" t="s">
        <v>513</v>
      </c>
      <c r="H191" s="29" t="s">
        <v>239</v>
      </c>
      <c r="I191" s="18"/>
      <c r="J191" s="18"/>
      <c r="K191" s="18"/>
      <c r="L191" s="18"/>
      <c r="M191" s="18"/>
      <c r="N191" s="18"/>
      <c r="O191" s="36" t="s">
        <v>454</v>
      </c>
      <c r="P191" s="36" t="s">
        <v>454</v>
      </c>
      <c r="Q191" s="18"/>
      <c r="R191" s="18"/>
      <c r="S191" s="18"/>
      <c r="T191" s="18"/>
      <c r="U191" s="18"/>
      <c r="V191" s="18"/>
      <c r="W191" s="18"/>
      <c r="X191" s="28">
        <v>2.5</v>
      </c>
      <c r="Y191" s="28"/>
      <c r="Z191" s="18"/>
      <c r="AA191" s="93"/>
      <c r="AB191" s="57" t="s">
        <v>514</v>
      </c>
      <c r="AC191" s="93">
        <v>0.5</v>
      </c>
      <c r="AD191" s="18" t="s">
        <v>448</v>
      </c>
      <c r="AE191" s="93">
        <v>0.5</v>
      </c>
      <c r="AF191" s="18" t="s">
        <v>71</v>
      </c>
      <c r="AG191" s="94" t="s">
        <v>386</v>
      </c>
      <c r="AH191" s="16"/>
    </row>
    <row r="192" spans="1:34" s="4" customFormat="1">
      <c r="A192" s="51" t="s">
        <v>83</v>
      </c>
      <c r="B192" s="84" t="str">
        <f t="shared" si="6"/>
        <v/>
      </c>
      <c r="C192" s="83"/>
      <c r="D192" s="52" t="s">
        <v>436</v>
      </c>
      <c r="E192" s="52" t="s">
        <v>436</v>
      </c>
      <c r="F192" s="112">
        <v>45201</v>
      </c>
      <c r="G192" s="113" t="s">
        <v>513</v>
      </c>
      <c r="H192" s="29" t="s">
        <v>239</v>
      </c>
      <c r="I192" s="30">
        <v>5</v>
      </c>
      <c r="J192" s="30">
        <v>5</v>
      </c>
      <c r="K192" s="30">
        <v>5</v>
      </c>
      <c r="L192" s="77">
        <v>5</v>
      </c>
      <c r="M192" s="18"/>
      <c r="N192" s="18"/>
      <c r="O192" s="18"/>
      <c r="P192" s="18"/>
      <c r="Q192" s="18"/>
      <c r="R192" s="18"/>
      <c r="S192" s="18" t="s">
        <v>12</v>
      </c>
      <c r="T192" s="18"/>
      <c r="U192" s="18"/>
      <c r="V192" s="18"/>
      <c r="W192" s="18"/>
      <c r="X192" s="28">
        <v>2.5</v>
      </c>
      <c r="Y192" s="28"/>
      <c r="Z192" s="18"/>
      <c r="AA192" s="93"/>
      <c r="AB192" s="17" t="s">
        <v>514</v>
      </c>
      <c r="AC192" s="93">
        <v>0.5</v>
      </c>
      <c r="AD192" s="18" t="s">
        <v>448</v>
      </c>
      <c r="AE192" s="93">
        <v>0.5</v>
      </c>
      <c r="AF192" s="18" t="s">
        <v>71</v>
      </c>
      <c r="AG192" s="94" t="s">
        <v>386</v>
      </c>
      <c r="AH192" s="16"/>
    </row>
    <row r="193" spans="1:34" s="4" customFormat="1">
      <c r="A193" s="51" t="s">
        <v>83</v>
      </c>
      <c r="B193" s="84" t="str">
        <f t="shared" si="6"/>
        <v/>
      </c>
      <c r="C193" s="83"/>
      <c r="D193" s="52" t="s">
        <v>436</v>
      </c>
      <c r="E193" s="52" t="s">
        <v>436</v>
      </c>
      <c r="F193" s="219">
        <v>46187</v>
      </c>
      <c r="G193" s="220" t="s">
        <v>515</v>
      </c>
      <c r="H193" s="111" t="s">
        <v>300</v>
      </c>
      <c r="I193" s="111"/>
      <c r="J193" s="111"/>
      <c r="K193" s="111"/>
      <c r="L193" s="52"/>
      <c r="M193" s="52"/>
      <c r="N193" s="52"/>
      <c r="O193" s="52"/>
      <c r="P193" s="160">
        <v>6</v>
      </c>
      <c r="Q193" s="52"/>
      <c r="R193" s="221">
        <v>6</v>
      </c>
      <c r="S193" s="52"/>
      <c r="T193" s="52"/>
      <c r="U193" s="52"/>
      <c r="V193" s="52"/>
      <c r="W193" s="52"/>
      <c r="X193" s="187">
        <v>5</v>
      </c>
      <c r="Y193" s="187"/>
      <c r="Z193" s="52"/>
      <c r="AA193" s="98"/>
      <c r="AB193" s="187"/>
      <c r="AC193" s="187"/>
      <c r="AD193" s="52" t="s">
        <v>439</v>
      </c>
      <c r="AE193" s="98">
        <v>1</v>
      </c>
      <c r="AF193" s="18" t="s">
        <v>71</v>
      </c>
      <c r="AG193" s="222" t="s">
        <v>516</v>
      </c>
      <c r="AH193" s="16"/>
    </row>
    <row r="194" spans="1:34">
      <c r="A194" s="51" t="s">
        <v>83</v>
      </c>
      <c r="B194" s="84" t="str">
        <f t="shared" si="6"/>
        <v/>
      </c>
      <c r="C194" s="83"/>
      <c r="D194" s="52" t="s">
        <v>436</v>
      </c>
      <c r="E194" s="52" t="s">
        <v>436</v>
      </c>
      <c r="F194" s="100">
        <v>46860</v>
      </c>
      <c r="G194" s="101" t="s">
        <v>517</v>
      </c>
      <c r="H194" s="29" t="s">
        <v>214</v>
      </c>
      <c r="I194" s="29"/>
      <c r="J194" s="29"/>
      <c r="K194" s="29"/>
      <c r="L194" s="18"/>
      <c r="M194" s="18"/>
      <c r="N194" s="18"/>
      <c r="O194" s="18"/>
      <c r="P194" s="18"/>
      <c r="Q194" s="18"/>
      <c r="R194" s="18"/>
      <c r="S194" s="78" t="s">
        <v>99</v>
      </c>
      <c r="T194" s="78" t="s">
        <v>479</v>
      </c>
      <c r="U194" s="18"/>
      <c r="V194" s="18"/>
      <c r="W194" s="18"/>
      <c r="X194" s="28">
        <v>5</v>
      </c>
      <c r="Y194" s="18"/>
      <c r="Z194" s="18"/>
      <c r="AA194" s="18"/>
      <c r="AB194" s="18" t="s">
        <v>287</v>
      </c>
      <c r="AC194" s="93">
        <v>0.25</v>
      </c>
      <c r="AD194" s="28" t="s">
        <v>465</v>
      </c>
      <c r="AE194" s="93">
        <v>0.75</v>
      </c>
      <c r="AF194" s="18" t="s">
        <v>71</v>
      </c>
      <c r="AG194" s="110" t="s">
        <v>217</v>
      </c>
      <c r="AH194" s="16"/>
    </row>
    <row r="195" spans="1:34" ht="26.4">
      <c r="A195" s="51" t="s">
        <v>83</v>
      </c>
      <c r="B195" s="84" t="str">
        <f t="shared" si="6"/>
        <v/>
      </c>
      <c r="C195" s="83"/>
      <c r="D195" s="52" t="s">
        <v>436</v>
      </c>
      <c r="E195" s="52" t="s">
        <v>436</v>
      </c>
      <c r="F195" s="100">
        <v>46882</v>
      </c>
      <c r="G195" s="116" t="s">
        <v>518</v>
      </c>
      <c r="H195" s="117" t="s">
        <v>170</v>
      </c>
      <c r="I195" s="117"/>
      <c r="J195" s="117"/>
      <c r="K195" s="117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79" t="s">
        <v>99</v>
      </c>
      <c r="W195" s="18"/>
      <c r="X195" s="28">
        <v>5</v>
      </c>
      <c r="Y195" s="18"/>
      <c r="Z195" s="74"/>
      <c r="AA195" s="109"/>
      <c r="AB195" s="74" t="s">
        <v>519</v>
      </c>
      <c r="AC195" s="109" t="s">
        <v>520</v>
      </c>
      <c r="AD195" s="74" t="s">
        <v>71</v>
      </c>
      <c r="AE195" s="74" t="s">
        <v>71</v>
      </c>
      <c r="AF195" s="18" t="s">
        <v>71</v>
      </c>
      <c r="AG195" s="130" t="s">
        <v>95</v>
      </c>
      <c r="AH195" s="16"/>
    </row>
    <row r="196" spans="1:34">
      <c r="A196" s="51" t="s">
        <v>83</v>
      </c>
      <c r="B196" s="84" t="str">
        <f t="shared" si="6"/>
        <v/>
      </c>
      <c r="C196" s="83"/>
      <c r="D196" s="52" t="s">
        <v>436</v>
      </c>
      <c r="E196" s="52" t="s">
        <v>436</v>
      </c>
      <c r="F196" s="86">
        <v>46871</v>
      </c>
      <c r="G196" s="87" t="s">
        <v>521</v>
      </c>
      <c r="H196" s="29" t="s">
        <v>307</v>
      </c>
      <c r="I196" s="18"/>
      <c r="J196" s="18"/>
      <c r="K196" s="18"/>
      <c r="L196" s="77" t="s">
        <v>99</v>
      </c>
      <c r="M196" s="77" t="s">
        <v>384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>
        <v>5</v>
      </c>
      <c r="Y196" s="28"/>
      <c r="Z196" s="18"/>
      <c r="AA196" s="93"/>
      <c r="AB196" s="28"/>
      <c r="AC196" s="28"/>
      <c r="AD196" s="18" t="s">
        <v>448</v>
      </c>
      <c r="AE196" s="93">
        <v>1</v>
      </c>
      <c r="AF196" s="18" t="s">
        <v>71</v>
      </c>
      <c r="AG196" s="110" t="s">
        <v>522</v>
      </c>
      <c r="AH196" s="16"/>
    </row>
    <row r="197" spans="1:34">
      <c r="A197" s="51" t="s">
        <v>83</v>
      </c>
      <c r="B197" s="84" t="str">
        <f t="shared" si="6"/>
        <v/>
      </c>
      <c r="C197" s="83"/>
      <c r="D197" s="52" t="s">
        <v>436</v>
      </c>
      <c r="E197" s="52" t="s">
        <v>436</v>
      </c>
      <c r="F197" s="112">
        <v>45202</v>
      </c>
      <c r="G197" s="113" t="s">
        <v>523</v>
      </c>
      <c r="H197" s="18" t="s">
        <v>524</v>
      </c>
      <c r="I197" s="30">
        <v>5</v>
      </c>
      <c r="J197" s="30">
        <v>5</v>
      </c>
      <c r="K197" s="30">
        <v>5</v>
      </c>
      <c r="L197" s="18"/>
      <c r="M197" s="77">
        <v>5</v>
      </c>
      <c r="N197" s="18"/>
      <c r="O197" s="160">
        <v>3</v>
      </c>
      <c r="P197" s="160">
        <v>3</v>
      </c>
      <c r="Q197" s="31">
        <v>5</v>
      </c>
      <c r="R197" s="31">
        <v>5</v>
      </c>
      <c r="S197" s="18"/>
      <c r="T197" s="18"/>
      <c r="U197" s="18"/>
      <c r="V197" s="18"/>
      <c r="W197" s="18"/>
      <c r="X197" s="28">
        <v>2.5</v>
      </c>
      <c r="Y197" s="28"/>
      <c r="Z197" s="18"/>
      <c r="AA197" s="93"/>
      <c r="AB197" s="28"/>
      <c r="AC197" s="28"/>
      <c r="AD197" s="18" t="s">
        <v>448</v>
      </c>
      <c r="AE197" s="93">
        <v>1</v>
      </c>
      <c r="AF197" s="18" t="s">
        <v>71</v>
      </c>
      <c r="AG197" s="110" t="s">
        <v>160</v>
      </c>
      <c r="AH197" s="16"/>
    </row>
    <row r="198" spans="1:34" ht="26.4">
      <c r="A198" s="51" t="s">
        <v>83</v>
      </c>
      <c r="B198" s="84" t="str">
        <f t="shared" si="6"/>
        <v/>
      </c>
      <c r="C198" s="83"/>
      <c r="D198" s="52" t="s">
        <v>436</v>
      </c>
      <c r="E198" s="52" t="s">
        <v>436</v>
      </c>
      <c r="F198" s="86">
        <v>46905</v>
      </c>
      <c r="G198" s="87" t="s">
        <v>525</v>
      </c>
      <c r="H198" s="29" t="s">
        <v>237</v>
      </c>
      <c r="I198" s="30" t="s">
        <v>336</v>
      </c>
      <c r="J198" s="30" t="s">
        <v>99</v>
      </c>
      <c r="K198" s="30" t="s">
        <v>99</v>
      </c>
      <c r="L198" s="77" t="s">
        <v>99</v>
      </c>
      <c r="M198" s="77" t="s">
        <v>99</v>
      </c>
      <c r="N198" s="81" t="s">
        <v>99</v>
      </c>
      <c r="O198" s="18"/>
      <c r="P198" s="18"/>
      <c r="Q198" s="31" t="s">
        <v>99</v>
      </c>
      <c r="R198" s="31" t="s">
        <v>99</v>
      </c>
      <c r="S198" s="18"/>
      <c r="T198" s="18"/>
      <c r="U198" s="18"/>
      <c r="V198" s="18"/>
      <c r="W198" s="18"/>
      <c r="X198" s="28">
        <v>5</v>
      </c>
      <c r="Y198" s="28"/>
      <c r="Z198" s="18"/>
      <c r="AA198" s="93"/>
      <c r="AB198" s="152" t="s">
        <v>526</v>
      </c>
      <c r="AC198" s="93">
        <v>0.33329999999999999</v>
      </c>
      <c r="AD198" s="18" t="s">
        <v>465</v>
      </c>
      <c r="AE198" s="93">
        <v>0.66669999999999996</v>
      </c>
      <c r="AF198" s="18" t="s">
        <v>71</v>
      </c>
      <c r="AG198" s="110" t="s">
        <v>300</v>
      </c>
      <c r="AH198" s="16"/>
    </row>
    <row r="199" spans="1:34" ht="26.4">
      <c r="A199" s="51" t="s">
        <v>83</v>
      </c>
      <c r="B199" s="84" t="str">
        <f t="shared" si="6"/>
        <v/>
      </c>
      <c r="C199" s="83"/>
      <c r="D199" s="52" t="s">
        <v>436</v>
      </c>
      <c r="E199" s="52" t="s">
        <v>436</v>
      </c>
      <c r="F199" s="86">
        <v>46912</v>
      </c>
      <c r="G199" s="87" t="s">
        <v>527</v>
      </c>
      <c r="H199" s="29" t="s">
        <v>386</v>
      </c>
      <c r="I199" s="30" t="s">
        <v>99</v>
      </c>
      <c r="J199" s="30" t="s">
        <v>99</v>
      </c>
      <c r="K199" s="30" t="s">
        <v>345</v>
      </c>
      <c r="L199" s="77" t="s">
        <v>99</v>
      </c>
      <c r="M199" s="77" t="s">
        <v>99</v>
      </c>
      <c r="N199" s="81" t="s">
        <v>99</v>
      </c>
      <c r="O199" s="18"/>
      <c r="P199" s="18"/>
      <c r="Q199" s="31" t="s">
        <v>99</v>
      </c>
      <c r="R199" s="31" t="s">
        <v>99</v>
      </c>
      <c r="S199" s="18"/>
      <c r="T199" s="18"/>
      <c r="U199" s="18"/>
      <c r="V199" s="18"/>
      <c r="W199" s="18"/>
      <c r="X199" s="28">
        <v>5</v>
      </c>
      <c r="Y199" s="28"/>
      <c r="Z199" s="74"/>
      <c r="AA199" s="103"/>
      <c r="AB199" s="75"/>
      <c r="AC199" s="75"/>
      <c r="AD199" s="74" t="s">
        <v>528</v>
      </c>
      <c r="AE199" s="103">
        <v>1</v>
      </c>
      <c r="AF199" s="18" t="s">
        <v>71</v>
      </c>
      <c r="AG199" s="110" t="s">
        <v>239</v>
      </c>
      <c r="AH199" s="16"/>
    </row>
    <row r="200" spans="1:34" ht="26.4">
      <c r="A200" s="51" t="s">
        <v>83</v>
      </c>
      <c r="B200" s="84" t="str">
        <f t="shared" si="6"/>
        <v/>
      </c>
      <c r="C200" s="83"/>
      <c r="D200" s="52" t="s">
        <v>436</v>
      </c>
      <c r="E200" s="52" t="s">
        <v>436</v>
      </c>
      <c r="F200" s="106">
        <v>411031</v>
      </c>
      <c r="G200" s="107" t="s">
        <v>529</v>
      </c>
      <c r="H200" s="29" t="s">
        <v>151</v>
      </c>
      <c r="I200" s="30">
        <v>2</v>
      </c>
      <c r="J200" s="30">
        <v>2</v>
      </c>
      <c r="K200" s="30">
        <v>2</v>
      </c>
      <c r="L200" s="77">
        <v>1</v>
      </c>
      <c r="M200" s="77">
        <v>1</v>
      </c>
      <c r="N200" s="81">
        <v>1</v>
      </c>
      <c r="O200" s="88">
        <v>1</v>
      </c>
      <c r="P200" s="88">
        <v>1</v>
      </c>
      <c r="Q200" s="108"/>
      <c r="R200" s="108"/>
      <c r="S200" s="18"/>
      <c r="T200" s="18"/>
      <c r="U200" s="18"/>
      <c r="V200" s="18"/>
      <c r="W200" s="18"/>
      <c r="X200" s="28">
        <v>2.5</v>
      </c>
      <c r="Y200" s="18" t="s">
        <v>530</v>
      </c>
      <c r="Z200" s="74"/>
      <c r="AA200" s="109"/>
      <c r="AB200" s="74"/>
      <c r="AC200" s="74"/>
      <c r="AD200" s="74" t="s">
        <v>531</v>
      </c>
      <c r="AE200" s="103">
        <v>1</v>
      </c>
      <c r="AF200" s="18" t="s">
        <v>71</v>
      </c>
      <c r="AG200" s="110" t="s">
        <v>293</v>
      </c>
      <c r="AH200" s="16"/>
    </row>
    <row r="201" spans="1:34" s="4" customFormat="1">
      <c r="A201" s="51" t="s">
        <v>83</v>
      </c>
      <c r="B201" s="84" t="str">
        <f t="shared" si="6"/>
        <v/>
      </c>
      <c r="C201" s="83"/>
      <c r="D201" s="52" t="s">
        <v>436</v>
      </c>
      <c r="E201" s="52" t="s">
        <v>436</v>
      </c>
      <c r="F201" s="100">
        <v>45195</v>
      </c>
      <c r="G201" s="101" t="s">
        <v>532</v>
      </c>
      <c r="H201" s="29" t="s">
        <v>367</v>
      </c>
      <c r="I201" s="29"/>
      <c r="J201" s="29"/>
      <c r="K201" s="29"/>
      <c r="L201" s="34" t="s">
        <v>453</v>
      </c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75">
        <v>7.5</v>
      </c>
      <c r="Y201" s="75"/>
      <c r="Z201" s="18"/>
      <c r="AA201" s="93"/>
      <c r="AB201" s="28"/>
      <c r="AC201" s="28"/>
      <c r="AD201" s="18" t="s">
        <v>439</v>
      </c>
      <c r="AE201" s="93">
        <v>1</v>
      </c>
      <c r="AF201" s="18" t="s">
        <v>71</v>
      </c>
      <c r="AG201" s="110" t="s">
        <v>160</v>
      </c>
      <c r="AH201" s="16"/>
    </row>
    <row r="202" spans="1:34" s="4" customFormat="1" ht="26.4">
      <c r="A202" s="51" t="s">
        <v>83</v>
      </c>
      <c r="B202" s="84" t="str">
        <f t="shared" si="6"/>
        <v/>
      </c>
      <c r="C202" s="83"/>
      <c r="D202" s="52" t="s">
        <v>436</v>
      </c>
      <c r="E202" s="52" t="s">
        <v>436</v>
      </c>
      <c r="F202" s="100">
        <v>43081</v>
      </c>
      <c r="G202" s="101" t="s">
        <v>533</v>
      </c>
      <c r="H202" s="29" t="s">
        <v>534</v>
      </c>
      <c r="I202" s="30">
        <v>3</v>
      </c>
      <c r="J202" s="29"/>
      <c r="K202" s="30">
        <v>5</v>
      </c>
      <c r="L202" s="77" t="s">
        <v>383</v>
      </c>
      <c r="M202" s="77" t="s">
        <v>535</v>
      </c>
      <c r="N202" s="35" t="s">
        <v>99</v>
      </c>
      <c r="O202" s="36" t="s">
        <v>99</v>
      </c>
      <c r="P202" s="36" t="s">
        <v>99</v>
      </c>
      <c r="Q202" s="89"/>
      <c r="R202" s="18"/>
      <c r="S202" s="18"/>
      <c r="T202" s="18"/>
      <c r="U202" s="18"/>
      <c r="V202" s="18"/>
      <c r="W202" s="18"/>
      <c r="X202" s="75">
        <v>5</v>
      </c>
      <c r="Y202" s="75"/>
      <c r="Z202" s="18"/>
      <c r="AA202" s="93"/>
      <c r="AB202" s="28"/>
      <c r="AC202" s="28"/>
      <c r="AD202" s="18" t="s">
        <v>465</v>
      </c>
      <c r="AE202" s="93">
        <v>1</v>
      </c>
      <c r="AF202" s="18" t="s">
        <v>71</v>
      </c>
      <c r="AG202" s="110" t="s">
        <v>536</v>
      </c>
      <c r="AH202" s="16"/>
    </row>
    <row r="203" spans="1:34" s="4" customFormat="1">
      <c r="A203" s="51" t="s">
        <v>83</v>
      </c>
      <c r="B203" s="84" t="str">
        <f t="shared" si="6"/>
        <v/>
      </c>
      <c r="C203" s="83"/>
      <c r="D203" s="52" t="s">
        <v>436</v>
      </c>
      <c r="E203" s="52" t="s">
        <v>436</v>
      </c>
      <c r="F203" s="119">
        <v>46847</v>
      </c>
      <c r="G203" s="120" t="s">
        <v>537</v>
      </c>
      <c r="H203" s="111" t="s">
        <v>395</v>
      </c>
      <c r="I203" s="30" t="s">
        <v>99</v>
      </c>
      <c r="J203" s="30" t="s">
        <v>99</v>
      </c>
      <c r="K203" s="30" t="s">
        <v>99</v>
      </c>
      <c r="L203" s="77" t="s">
        <v>99</v>
      </c>
      <c r="M203" s="77" t="s">
        <v>99</v>
      </c>
      <c r="N203" s="81" t="s">
        <v>99</v>
      </c>
      <c r="O203" s="88" t="s">
        <v>182</v>
      </c>
      <c r="P203" s="88" t="s">
        <v>182</v>
      </c>
      <c r="Q203" s="18"/>
      <c r="R203" s="18"/>
      <c r="S203" s="18"/>
      <c r="T203" s="18"/>
      <c r="U203" s="18"/>
      <c r="V203" s="18"/>
      <c r="W203" s="18"/>
      <c r="X203" s="28">
        <v>5</v>
      </c>
      <c r="Y203" s="28"/>
      <c r="Z203" s="18"/>
      <c r="AA203" s="93"/>
      <c r="AB203" s="28" t="s">
        <v>398</v>
      </c>
      <c r="AC203" s="93">
        <v>1</v>
      </c>
      <c r="AD203" s="18" t="s">
        <v>71</v>
      </c>
      <c r="AE203" s="93"/>
      <c r="AF203" s="18" t="s">
        <v>71</v>
      </c>
      <c r="AG203" s="94" t="s">
        <v>337</v>
      </c>
      <c r="AH203" s="16"/>
    </row>
    <row r="204" spans="1:34">
      <c r="A204" s="51" t="s">
        <v>83</v>
      </c>
      <c r="B204" s="84" t="str">
        <f t="shared" si="6"/>
        <v/>
      </c>
      <c r="C204" s="83"/>
      <c r="D204" s="52" t="s">
        <v>436</v>
      </c>
      <c r="E204" s="52" t="s">
        <v>436</v>
      </c>
      <c r="F204" s="86">
        <v>46883</v>
      </c>
      <c r="G204" s="87" t="s">
        <v>538</v>
      </c>
      <c r="H204" s="117" t="s">
        <v>170</v>
      </c>
      <c r="I204" s="117"/>
      <c r="J204" s="117"/>
      <c r="K204" s="117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79" t="s">
        <v>99</v>
      </c>
      <c r="W204" s="18"/>
      <c r="X204" s="28">
        <v>5</v>
      </c>
      <c r="Y204" s="28"/>
      <c r="Z204" s="156"/>
      <c r="AA204" s="157"/>
      <c r="AB204" s="74" t="s">
        <v>539</v>
      </c>
      <c r="AC204" s="103">
        <v>0.6</v>
      </c>
      <c r="AD204" s="74" t="s">
        <v>531</v>
      </c>
      <c r="AE204" s="103">
        <v>0.4</v>
      </c>
      <c r="AF204" s="18" t="s">
        <v>71</v>
      </c>
      <c r="AG204" s="130" t="s">
        <v>95</v>
      </c>
      <c r="AH204" s="16"/>
    </row>
    <row r="205" spans="1:34">
      <c r="A205" s="51" t="s">
        <v>83</v>
      </c>
      <c r="B205" s="84" t="str">
        <f t="shared" si="6"/>
        <v/>
      </c>
      <c r="C205" s="83"/>
      <c r="D205" s="52" t="s">
        <v>436</v>
      </c>
      <c r="E205" s="52" t="s">
        <v>436</v>
      </c>
      <c r="F205" s="100">
        <v>43056</v>
      </c>
      <c r="G205" s="101" t="s">
        <v>540</v>
      </c>
      <c r="H205" s="18" t="s">
        <v>541</v>
      </c>
      <c r="I205" s="29"/>
      <c r="J205" s="29"/>
      <c r="K205" s="29"/>
      <c r="L205" s="159"/>
      <c r="M205" s="159"/>
      <c r="N205" s="18"/>
      <c r="O205" s="88" t="s">
        <v>309</v>
      </c>
      <c r="P205" s="88">
        <v>5</v>
      </c>
      <c r="Q205" s="18"/>
      <c r="R205" s="31">
        <v>7</v>
      </c>
      <c r="S205" s="18"/>
      <c r="T205" s="18"/>
      <c r="U205" s="18"/>
      <c r="V205" s="18"/>
      <c r="W205" s="18"/>
      <c r="X205" s="74">
        <v>5</v>
      </c>
      <c r="Y205" s="74"/>
      <c r="Z205" s="74"/>
      <c r="AA205" s="109"/>
      <c r="AB205" s="74"/>
      <c r="AC205" s="74"/>
      <c r="AD205" s="74" t="s">
        <v>465</v>
      </c>
      <c r="AE205" s="109">
        <v>1</v>
      </c>
      <c r="AF205" s="18" t="s">
        <v>71</v>
      </c>
      <c r="AG205" s="72" t="s">
        <v>542</v>
      </c>
      <c r="AH205" s="16"/>
    </row>
    <row r="206" spans="1:34" ht="26.4">
      <c r="A206" s="134"/>
      <c r="B206" s="135" t="str">
        <f t="shared" si="6"/>
        <v/>
      </c>
      <c r="C206" s="136"/>
      <c r="D206" s="137" t="s">
        <v>436</v>
      </c>
      <c r="E206" s="137" t="s">
        <v>436</v>
      </c>
      <c r="F206" s="174">
        <v>43082</v>
      </c>
      <c r="G206" s="175" t="s">
        <v>611</v>
      </c>
      <c r="H206" s="180" t="s">
        <v>601</v>
      </c>
      <c r="I206" s="193" t="s">
        <v>336</v>
      </c>
      <c r="J206" s="193" t="s">
        <v>99</v>
      </c>
      <c r="K206" s="193" t="s">
        <v>99</v>
      </c>
      <c r="L206" s="59"/>
      <c r="M206" s="59"/>
      <c r="N206" s="59"/>
      <c r="O206" s="59"/>
      <c r="P206" s="59"/>
      <c r="Q206" s="195" t="s">
        <v>99</v>
      </c>
      <c r="R206" s="195" t="s">
        <v>99</v>
      </c>
      <c r="S206" s="59"/>
      <c r="T206" s="59"/>
      <c r="U206" s="59"/>
      <c r="V206" s="59"/>
      <c r="W206" s="59"/>
      <c r="X206" s="143">
        <v>5</v>
      </c>
      <c r="Y206" s="143"/>
      <c r="Z206" s="59"/>
      <c r="AA206" s="146"/>
      <c r="AB206" s="143"/>
      <c r="AC206" s="143"/>
      <c r="AD206" s="59" t="s">
        <v>465</v>
      </c>
      <c r="AE206" s="146">
        <v>1</v>
      </c>
      <c r="AF206" s="59" t="s">
        <v>295</v>
      </c>
      <c r="AG206" s="147" t="s">
        <v>344</v>
      </c>
      <c r="AH206" s="58"/>
    </row>
    <row r="207" spans="1:34">
      <c r="A207" s="51" t="s">
        <v>83</v>
      </c>
      <c r="B207" s="84" t="str">
        <f t="shared" si="6"/>
        <v/>
      </c>
      <c r="C207" s="83"/>
      <c r="D207" s="52" t="s">
        <v>436</v>
      </c>
      <c r="E207" s="52" t="s">
        <v>436</v>
      </c>
      <c r="F207" s="86">
        <v>47723</v>
      </c>
      <c r="G207" s="87" t="s">
        <v>543</v>
      </c>
      <c r="H207" s="18" t="s">
        <v>544</v>
      </c>
      <c r="I207" s="29"/>
      <c r="J207" s="29"/>
      <c r="K207" s="29"/>
      <c r="L207" s="18"/>
      <c r="M207" s="18"/>
      <c r="N207" s="18"/>
      <c r="O207" s="18"/>
      <c r="P207" s="18"/>
      <c r="Q207" s="18"/>
      <c r="R207" s="18"/>
      <c r="S207" s="78" t="s">
        <v>396</v>
      </c>
      <c r="T207" s="78" t="s">
        <v>396</v>
      </c>
      <c r="U207" s="80" t="s">
        <v>397</v>
      </c>
      <c r="V207" s="151" t="s">
        <v>113</v>
      </c>
      <c r="W207" s="52"/>
      <c r="X207" s="28">
        <v>5</v>
      </c>
      <c r="Y207" s="28"/>
      <c r="Z207" s="18"/>
      <c r="AA207" s="93"/>
      <c r="AB207" s="152" t="s">
        <v>526</v>
      </c>
      <c r="AC207" s="93">
        <v>0.33329999999999999</v>
      </c>
      <c r="AD207" s="18" t="s">
        <v>465</v>
      </c>
      <c r="AE207" s="93">
        <v>0.66669999999999996</v>
      </c>
      <c r="AF207" s="18" t="s">
        <v>71</v>
      </c>
      <c r="AG207" s="110" t="s">
        <v>237</v>
      </c>
      <c r="AH207" s="16"/>
    </row>
    <row r="208" spans="1:34" ht="13.8">
      <c r="A208" s="51" t="s">
        <v>83</v>
      </c>
      <c r="B208" s="84" t="str">
        <f t="shared" si="6"/>
        <v/>
      </c>
      <c r="C208" s="83"/>
      <c r="D208" s="52" t="s">
        <v>436</v>
      </c>
      <c r="E208" s="52" t="s">
        <v>436</v>
      </c>
      <c r="F208" s="153">
        <v>47723</v>
      </c>
      <c r="G208" s="154" t="s">
        <v>543</v>
      </c>
      <c r="H208" s="266" t="s">
        <v>544</v>
      </c>
      <c r="I208" s="53"/>
      <c r="J208" s="53"/>
      <c r="K208" s="53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97" t="s">
        <v>233</v>
      </c>
      <c r="X208" s="28">
        <v>6</v>
      </c>
      <c r="Y208" s="28"/>
      <c r="Z208" s="18"/>
      <c r="AA208" s="28"/>
      <c r="AB208" s="152" t="s">
        <v>526</v>
      </c>
      <c r="AC208" s="93">
        <v>0.33329999999999999</v>
      </c>
      <c r="AD208" s="18" t="s">
        <v>465</v>
      </c>
      <c r="AE208" s="93">
        <v>0.66669999999999996</v>
      </c>
      <c r="AF208" s="18" t="s">
        <v>71</v>
      </c>
      <c r="AG208" s="110" t="s">
        <v>237</v>
      </c>
      <c r="AH208" s="16"/>
    </row>
    <row r="209" spans="1:34">
      <c r="A209" s="51" t="s">
        <v>83</v>
      </c>
      <c r="B209" s="84" t="str">
        <f t="shared" si="6"/>
        <v/>
      </c>
      <c r="C209" s="83"/>
      <c r="D209" s="52" t="s">
        <v>436</v>
      </c>
      <c r="E209" s="52" t="s">
        <v>436</v>
      </c>
      <c r="F209" s="86">
        <v>46919</v>
      </c>
      <c r="G209" s="87" t="s">
        <v>545</v>
      </c>
      <c r="H209" s="18" t="s">
        <v>516</v>
      </c>
      <c r="I209" s="29"/>
      <c r="J209" s="29"/>
      <c r="K209" s="29"/>
      <c r="L209" s="18"/>
      <c r="M209" s="18"/>
      <c r="N209" s="18"/>
      <c r="O209" s="88">
        <v>4</v>
      </c>
      <c r="P209" s="18"/>
      <c r="Q209" s="18"/>
      <c r="R209" s="18"/>
      <c r="S209" s="18"/>
      <c r="T209" s="18"/>
      <c r="U209" s="18"/>
      <c r="V209" s="18"/>
      <c r="W209" s="18"/>
      <c r="X209" s="28">
        <v>5</v>
      </c>
      <c r="Y209" s="28"/>
      <c r="Z209" s="18"/>
      <c r="AA209" s="93"/>
      <c r="AB209" s="18"/>
      <c r="AC209" s="93"/>
      <c r="AD209" s="74" t="s">
        <v>71</v>
      </c>
      <c r="AE209" s="74" t="s">
        <v>71</v>
      </c>
      <c r="AF209" s="74" t="s">
        <v>71</v>
      </c>
      <c r="AG209" s="72" t="s">
        <v>546</v>
      </c>
      <c r="AH209" s="16"/>
    </row>
    <row r="210" spans="1:34">
      <c r="A210" s="51" t="s">
        <v>83</v>
      </c>
      <c r="B210" s="84" t="str">
        <f t="shared" si="6"/>
        <v/>
      </c>
      <c r="C210" s="83"/>
      <c r="D210" s="52" t="s">
        <v>436</v>
      </c>
      <c r="E210" s="52" t="s">
        <v>436</v>
      </c>
      <c r="F210" s="86">
        <v>43027</v>
      </c>
      <c r="G210" s="87" t="s">
        <v>547</v>
      </c>
      <c r="H210" s="29" t="s">
        <v>482</v>
      </c>
      <c r="I210" s="29"/>
      <c r="J210" s="29"/>
      <c r="K210" s="29"/>
      <c r="L210" s="18"/>
      <c r="M210" s="18"/>
      <c r="N210" s="18"/>
      <c r="O210" s="88">
        <v>4</v>
      </c>
      <c r="P210" s="18"/>
      <c r="Q210" s="18"/>
      <c r="R210" s="18"/>
      <c r="S210" s="18"/>
      <c r="T210" s="18"/>
      <c r="U210" s="18"/>
      <c r="V210" s="18"/>
      <c r="W210" s="18"/>
      <c r="X210" s="28">
        <v>5</v>
      </c>
      <c r="Y210" s="28"/>
      <c r="Z210" s="18"/>
      <c r="AA210" s="93"/>
      <c r="AB210" s="18"/>
      <c r="AC210" s="93"/>
      <c r="AD210" s="74" t="s">
        <v>448</v>
      </c>
      <c r="AE210" s="93">
        <v>1</v>
      </c>
      <c r="AF210" s="18" t="s">
        <v>71</v>
      </c>
      <c r="AG210" s="56" t="s">
        <v>548</v>
      </c>
      <c r="AH210" s="16"/>
    </row>
    <row r="211" spans="1:34">
      <c r="A211" s="115" t="s">
        <v>459</v>
      </c>
      <c r="B211" s="84" t="str">
        <f t="shared" si="6"/>
        <v/>
      </c>
      <c r="C211" s="83"/>
      <c r="D211" s="52" t="s">
        <v>436</v>
      </c>
      <c r="E211" s="52" t="s">
        <v>436</v>
      </c>
      <c r="F211" s="106" t="s">
        <v>460</v>
      </c>
      <c r="G211" s="107" t="s">
        <v>461</v>
      </c>
      <c r="H211" s="29" t="s">
        <v>148</v>
      </c>
      <c r="I211" s="29"/>
      <c r="J211" s="29"/>
      <c r="K211" s="29"/>
      <c r="L211" s="77">
        <v>6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>
        <v>30</v>
      </c>
      <c r="Y211" s="28"/>
      <c r="Z211" s="18"/>
      <c r="AA211" s="93"/>
      <c r="AB211" s="28"/>
      <c r="AC211" s="28"/>
      <c r="AD211" s="18" t="s">
        <v>448</v>
      </c>
      <c r="AE211" s="93">
        <v>1</v>
      </c>
      <c r="AF211" s="18" t="s">
        <v>71</v>
      </c>
      <c r="AG211" s="56" t="s">
        <v>462</v>
      </c>
      <c r="AH211" s="16"/>
    </row>
    <row r="212" spans="1:34">
      <c r="A212" s="115" t="s">
        <v>459</v>
      </c>
      <c r="B212" s="84" t="str">
        <f t="shared" si="6"/>
        <v/>
      </c>
      <c r="C212" s="83"/>
      <c r="D212" s="52" t="s">
        <v>436</v>
      </c>
      <c r="E212" s="52" t="s">
        <v>436</v>
      </c>
      <c r="F212" s="106" t="s">
        <v>460</v>
      </c>
      <c r="G212" s="107" t="s">
        <v>461</v>
      </c>
      <c r="H212" s="29" t="s">
        <v>302</v>
      </c>
      <c r="I212" s="29"/>
      <c r="J212" s="29"/>
      <c r="K212" s="29"/>
      <c r="L212" s="18"/>
      <c r="M212" s="53"/>
      <c r="N212" s="81">
        <v>6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28">
        <v>30</v>
      </c>
      <c r="Y212" s="28"/>
      <c r="Z212" s="18"/>
      <c r="AA212" s="93"/>
      <c r="AB212" s="28"/>
      <c r="AC212" s="28"/>
      <c r="AD212" s="18" t="s">
        <v>448</v>
      </c>
      <c r="AE212" s="93">
        <v>1</v>
      </c>
      <c r="AF212" s="18" t="s">
        <v>71</v>
      </c>
      <c r="AG212" s="56" t="s">
        <v>462</v>
      </c>
      <c r="AH212" s="16"/>
    </row>
    <row r="213" spans="1:34">
      <c r="A213" s="51" t="s">
        <v>83</v>
      </c>
      <c r="B213" s="84" t="str">
        <f t="shared" si="6"/>
        <v/>
      </c>
      <c r="C213" s="83"/>
      <c r="D213" s="52" t="s">
        <v>436</v>
      </c>
      <c r="E213" s="52" t="s">
        <v>436</v>
      </c>
      <c r="F213" s="100">
        <v>43021</v>
      </c>
      <c r="G213" s="101" t="s">
        <v>549</v>
      </c>
      <c r="H213" s="18" t="s">
        <v>550</v>
      </c>
      <c r="I213" s="29"/>
      <c r="J213" s="29"/>
      <c r="K213" s="30">
        <v>3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>
        <v>5</v>
      </c>
      <c r="Y213" s="28"/>
      <c r="Z213" s="74" t="s">
        <v>551</v>
      </c>
      <c r="AA213" s="103">
        <v>0.1666</v>
      </c>
      <c r="AB213" s="75" t="s">
        <v>501</v>
      </c>
      <c r="AC213" s="103">
        <v>0.5</v>
      </c>
      <c r="AD213" s="71" t="s">
        <v>465</v>
      </c>
      <c r="AE213" s="103">
        <v>0.5</v>
      </c>
      <c r="AF213" s="74" t="s">
        <v>552</v>
      </c>
      <c r="AG213" s="110" t="s">
        <v>160</v>
      </c>
      <c r="AH213" s="16"/>
    </row>
    <row r="214" spans="1:34">
      <c r="A214" s="51" t="s">
        <v>83</v>
      </c>
      <c r="B214" s="84" t="str">
        <f t="shared" si="6"/>
        <v/>
      </c>
      <c r="C214" s="83"/>
      <c r="D214" s="52" t="s">
        <v>436</v>
      </c>
      <c r="E214" s="52" t="s">
        <v>436</v>
      </c>
      <c r="F214" s="86">
        <v>43026</v>
      </c>
      <c r="G214" s="87" t="s">
        <v>553</v>
      </c>
      <c r="H214" s="29" t="s">
        <v>318</v>
      </c>
      <c r="I214" s="29"/>
      <c r="J214" s="29"/>
      <c r="K214" s="29"/>
      <c r="L214" s="18"/>
      <c r="M214" s="18"/>
      <c r="N214" s="18"/>
      <c r="O214" s="88" t="s">
        <v>309</v>
      </c>
      <c r="P214" s="36">
        <v>4</v>
      </c>
      <c r="Q214" s="18"/>
      <c r="R214" s="89"/>
      <c r="S214" s="18"/>
      <c r="T214" s="18"/>
      <c r="U214" s="18"/>
      <c r="V214" s="18"/>
      <c r="W214" s="18"/>
      <c r="X214" s="18">
        <v>5</v>
      </c>
      <c r="Y214" s="18"/>
      <c r="Z214" s="18"/>
      <c r="AA214" s="90"/>
      <c r="AB214" s="18" t="s">
        <v>359</v>
      </c>
      <c r="AC214" s="90">
        <v>0.5</v>
      </c>
      <c r="AD214" s="18" t="s">
        <v>201</v>
      </c>
      <c r="AE214" s="90">
        <v>0.5</v>
      </c>
      <c r="AF214" s="18" t="s">
        <v>71</v>
      </c>
      <c r="AG214" s="110" t="s">
        <v>237</v>
      </c>
      <c r="AH214" s="16"/>
    </row>
    <row r="215" spans="1:34">
      <c r="A215" s="51" t="s">
        <v>83</v>
      </c>
      <c r="B215" s="84" t="str">
        <f t="shared" si="6"/>
        <v/>
      </c>
      <c r="C215" s="83"/>
      <c r="D215" s="52" t="s">
        <v>436</v>
      </c>
      <c r="E215" s="52" t="s">
        <v>436</v>
      </c>
      <c r="F215" s="86">
        <v>46921</v>
      </c>
      <c r="G215" s="87" t="s">
        <v>554</v>
      </c>
      <c r="H215" s="29" t="s">
        <v>161</v>
      </c>
      <c r="I215" s="29"/>
      <c r="J215" s="29"/>
      <c r="K215" s="29"/>
      <c r="L215" s="18"/>
      <c r="M215" s="18"/>
      <c r="N215" s="18"/>
      <c r="O215" s="88">
        <v>4</v>
      </c>
      <c r="P215" s="88">
        <v>4</v>
      </c>
      <c r="Q215" s="18"/>
      <c r="R215" s="18"/>
      <c r="S215" s="18"/>
      <c r="T215" s="18"/>
      <c r="U215" s="18"/>
      <c r="V215" s="18"/>
      <c r="W215" s="18"/>
      <c r="X215" s="28">
        <v>5</v>
      </c>
      <c r="Y215" s="28"/>
      <c r="Z215" s="18"/>
      <c r="AA215" s="93"/>
      <c r="AB215" s="71" t="s">
        <v>555</v>
      </c>
      <c r="AC215" s="103">
        <v>0.4</v>
      </c>
      <c r="AD215" s="18" t="s">
        <v>448</v>
      </c>
      <c r="AE215" s="93">
        <v>0.6</v>
      </c>
      <c r="AF215" s="18" t="s">
        <v>71</v>
      </c>
      <c r="AG215" s="110" t="s">
        <v>160</v>
      </c>
      <c r="AH215" s="16"/>
    </row>
    <row r="216" spans="1:34" s="4" customFormat="1">
      <c r="A216" s="51" t="s">
        <v>83</v>
      </c>
      <c r="B216" s="84" t="str">
        <f t="shared" si="6"/>
        <v/>
      </c>
      <c r="C216" s="83"/>
      <c r="D216" s="52" t="s">
        <v>436</v>
      </c>
      <c r="E216" s="52" t="s">
        <v>436</v>
      </c>
      <c r="F216" s="100">
        <v>46858</v>
      </c>
      <c r="G216" s="116" t="s">
        <v>554</v>
      </c>
      <c r="H216" s="117" t="s">
        <v>556</v>
      </c>
      <c r="I216" s="117"/>
      <c r="J216" s="117"/>
      <c r="K216" s="117"/>
      <c r="L216" s="18"/>
      <c r="M216" s="18"/>
      <c r="N216" s="81">
        <v>5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28">
        <v>5</v>
      </c>
      <c r="Y216" s="28"/>
      <c r="Z216" s="74"/>
      <c r="AA216" s="103"/>
      <c r="AB216" s="75" t="s">
        <v>557</v>
      </c>
      <c r="AC216" s="103">
        <v>1</v>
      </c>
      <c r="AD216" s="74" t="s">
        <v>71</v>
      </c>
      <c r="AE216" s="74" t="s">
        <v>71</v>
      </c>
      <c r="AF216" s="18" t="s">
        <v>71</v>
      </c>
      <c r="AG216" s="130" t="s">
        <v>558</v>
      </c>
      <c r="AH216" s="16"/>
    </row>
    <row r="217" spans="1:34">
      <c r="A217" s="51" t="s">
        <v>83</v>
      </c>
      <c r="B217" s="84" t="str">
        <f t="shared" si="6"/>
        <v/>
      </c>
      <c r="C217" s="83"/>
      <c r="D217" s="52" t="s">
        <v>436</v>
      </c>
      <c r="E217" s="52" t="s">
        <v>436</v>
      </c>
      <c r="F217" s="100">
        <v>46858</v>
      </c>
      <c r="G217" s="101" t="s">
        <v>554</v>
      </c>
      <c r="H217" s="29" t="s">
        <v>243</v>
      </c>
      <c r="I217" s="29"/>
      <c r="J217" s="29"/>
      <c r="K217" s="29"/>
      <c r="L217" s="18"/>
      <c r="M217" s="18"/>
      <c r="N217" s="18"/>
      <c r="O217" s="18"/>
      <c r="P217" s="18"/>
      <c r="Q217" s="18"/>
      <c r="R217" s="18"/>
      <c r="S217" s="78" t="s">
        <v>396</v>
      </c>
      <c r="T217" s="78" t="s">
        <v>396</v>
      </c>
      <c r="U217" s="80" t="s">
        <v>397</v>
      </c>
      <c r="V217" s="18"/>
      <c r="W217" s="18"/>
      <c r="X217" s="28">
        <v>5</v>
      </c>
      <c r="Y217" s="28"/>
      <c r="Z217" s="18"/>
      <c r="AA217" s="93"/>
      <c r="AB217" s="18" t="s">
        <v>505</v>
      </c>
      <c r="AC217" s="93">
        <v>1</v>
      </c>
      <c r="AD217" s="18" t="s">
        <v>71</v>
      </c>
      <c r="AE217" s="18" t="s">
        <v>71</v>
      </c>
      <c r="AF217" s="18" t="s">
        <v>71</v>
      </c>
      <c r="AG217" s="94" t="s">
        <v>188</v>
      </c>
      <c r="AH217" s="16"/>
    </row>
    <row r="218" spans="1:34" s="4" customFormat="1">
      <c r="A218" s="51" t="s">
        <v>83</v>
      </c>
      <c r="B218" s="84"/>
      <c r="C218" s="148"/>
      <c r="D218" s="52" t="s">
        <v>436</v>
      </c>
      <c r="E218" s="52" t="s">
        <v>436</v>
      </c>
      <c r="F218" s="149">
        <v>45182</v>
      </c>
      <c r="G218" s="150" t="s">
        <v>559</v>
      </c>
      <c r="H218" s="29" t="s">
        <v>286</v>
      </c>
      <c r="I218" s="30">
        <v>6</v>
      </c>
      <c r="J218" s="30">
        <v>6</v>
      </c>
      <c r="K218" s="30">
        <v>6</v>
      </c>
      <c r="L218" s="77">
        <v>6</v>
      </c>
      <c r="M218" s="60"/>
      <c r="N218" s="81">
        <v>4</v>
      </c>
      <c r="O218" s="18"/>
      <c r="P218" s="18"/>
      <c r="Q218" s="53"/>
      <c r="R218" s="53"/>
      <c r="S218" s="53"/>
      <c r="T218" s="53"/>
      <c r="U218" s="18"/>
      <c r="V218" s="18"/>
      <c r="W218" s="18"/>
      <c r="X218" s="74">
        <v>2.5</v>
      </c>
      <c r="Y218" s="18" t="s">
        <v>511</v>
      </c>
      <c r="Z218" s="74"/>
      <c r="AA218" s="109"/>
      <c r="AB218" s="74"/>
      <c r="AC218" s="74"/>
      <c r="AD218" s="74" t="s">
        <v>448</v>
      </c>
      <c r="AE218" s="103">
        <v>1</v>
      </c>
      <c r="AF218" s="18" t="s">
        <v>71</v>
      </c>
      <c r="AG218" s="110" t="s">
        <v>72</v>
      </c>
      <c r="AH218" s="16"/>
    </row>
    <row r="219" spans="1:34">
      <c r="A219" s="51" t="s">
        <v>83</v>
      </c>
      <c r="B219" s="84"/>
      <c r="C219" s="148"/>
      <c r="D219" s="52" t="s">
        <v>436</v>
      </c>
      <c r="E219" s="52" t="s">
        <v>436</v>
      </c>
      <c r="F219" s="149">
        <v>45182</v>
      </c>
      <c r="G219" s="150" t="s">
        <v>560</v>
      </c>
      <c r="H219" s="18" t="s">
        <v>561</v>
      </c>
      <c r="I219" s="30">
        <v>6</v>
      </c>
      <c r="J219" s="30">
        <v>6</v>
      </c>
      <c r="K219" s="30">
        <v>6</v>
      </c>
      <c r="L219" s="77">
        <v>6</v>
      </c>
      <c r="M219" s="60"/>
      <c r="N219" s="81">
        <v>4</v>
      </c>
      <c r="O219" s="18"/>
      <c r="P219" s="18"/>
      <c r="Q219" s="53"/>
      <c r="R219" s="53"/>
      <c r="S219" s="53"/>
      <c r="T219" s="53"/>
      <c r="U219" s="18"/>
      <c r="V219" s="18"/>
      <c r="W219" s="18"/>
      <c r="X219" s="74">
        <v>2.5</v>
      </c>
      <c r="Y219" s="18" t="s">
        <v>511</v>
      </c>
      <c r="Z219" s="74"/>
      <c r="AA219" s="109"/>
      <c r="AB219" s="74"/>
      <c r="AC219" s="74"/>
      <c r="AD219" s="74" t="s">
        <v>528</v>
      </c>
      <c r="AE219" s="103">
        <v>1</v>
      </c>
      <c r="AF219" s="18" t="s">
        <v>71</v>
      </c>
      <c r="AG219" s="110" t="s">
        <v>72</v>
      </c>
      <c r="AH219" s="16"/>
    </row>
    <row r="220" spans="1:34" s="14" customFormat="1" ht="13.8">
      <c r="A220" s="51" t="s">
        <v>83</v>
      </c>
      <c r="B220" s="84"/>
      <c r="C220" s="148"/>
      <c r="D220" s="52" t="s">
        <v>436</v>
      </c>
      <c r="E220" s="52" t="s">
        <v>436</v>
      </c>
      <c r="F220" s="149">
        <v>45182</v>
      </c>
      <c r="G220" s="150" t="s">
        <v>562</v>
      </c>
      <c r="H220" s="29" t="s">
        <v>68</v>
      </c>
      <c r="I220" s="30">
        <v>6</v>
      </c>
      <c r="J220" s="30">
        <v>6</v>
      </c>
      <c r="K220" s="30">
        <v>6</v>
      </c>
      <c r="L220" s="77">
        <v>6</v>
      </c>
      <c r="M220" s="60"/>
      <c r="N220" s="81">
        <v>4</v>
      </c>
      <c r="O220" s="18"/>
      <c r="P220" s="18"/>
      <c r="Q220" s="53"/>
      <c r="R220" s="53"/>
      <c r="S220" s="53"/>
      <c r="T220" s="53"/>
      <c r="U220" s="18"/>
      <c r="V220" s="18"/>
      <c r="W220" s="18"/>
      <c r="X220" s="74">
        <v>2.5</v>
      </c>
      <c r="Y220" s="18" t="s">
        <v>563</v>
      </c>
      <c r="Z220" s="74"/>
      <c r="AA220" s="109"/>
      <c r="AB220" s="74" t="s">
        <v>564</v>
      </c>
      <c r="AC220" s="90">
        <v>0.3</v>
      </c>
      <c r="AD220" s="74" t="s">
        <v>246</v>
      </c>
      <c r="AE220" s="103">
        <v>0.7</v>
      </c>
      <c r="AF220" s="18" t="s">
        <v>71</v>
      </c>
      <c r="AG220" s="110" t="s">
        <v>72</v>
      </c>
      <c r="AH220" s="16"/>
    </row>
    <row r="221" spans="1:34" s="13" customFormat="1" ht="13.8">
      <c r="A221" s="51" t="s">
        <v>83</v>
      </c>
      <c r="B221" s="84" t="str">
        <f>IF(C221="","",C221)</f>
        <v/>
      </c>
      <c r="C221" s="148"/>
      <c r="D221" s="52" t="s">
        <v>436</v>
      </c>
      <c r="E221" s="52" t="s">
        <v>436</v>
      </c>
      <c r="F221" s="149">
        <v>45182</v>
      </c>
      <c r="G221" s="150" t="s">
        <v>565</v>
      </c>
      <c r="H221" s="108" t="s">
        <v>566</v>
      </c>
      <c r="I221" s="30">
        <v>6</v>
      </c>
      <c r="J221" s="30">
        <v>6</v>
      </c>
      <c r="K221" s="30">
        <v>6</v>
      </c>
      <c r="L221" s="77">
        <v>6</v>
      </c>
      <c r="M221" s="60"/>
      <c r="N221" s="81">
        <v>4</v>
      </c>
      <c r="O221" s="18"/>
      <c r="P221" s="18"/>
      <c r="Q221" s="53"/>
      <c r="R221" s="53"/>
      <c r="S221" s="53"/>
      <c r="T221" s="53"/>
      <c r="U221" s="18"/>
      <c r="V221" s="18"/>
      <c r="W221" s="18"/>
      <c r="X221" s="74">
        <v>2.5</v>
      </c>
      <c r="Y221" s="18" t="s">
        <v>511</v>
      </c>
      <c r="Z221" s="74"/>
      <c r="AA221" s="109"/>
      <c r="AB221" s="74"/>
      <c r="AC221" s="74"/>
      <c r="AD221" s="74" t="s">
        <v>448</v>
      </c>
      <c r="AE221" s="103">
        <v>1</v>
      </c>
      <c r="AF221" s="18" t="s">
        <v>71</v>
      </c>
      <c r="AG221" s="110" t="s">
        <v>72</v>
      </c>
      <c r="AH221" s="16"/>
    </row>
    <row r="222" spans="1:34" s="14" customFormat="1" ht="13.8">
      <c r="A222" s="51" t="s">
        <v>83</v>
      </c>
      <c r="B222" s="84" t="str">
        <f>IF(C222="","",C222)</f>
        <v/>
      </c>
      <c r="C222" s="148"/>
      <c r="D222" s="52" t="s">
        <v>436</v>
      </c>
      <c r="E222" s="52" t="s">
        <v>436</v>
      </c>
      <c r="F222" s="104">
        <v>45182</v>
      </c>
      <c r="G222" s="105" t="s">
        <v>567</v>
      </c>
      <c r="H222" s="29" t="s">
        <v>286</v>
      </c>
      <c r="I222" s="30">
        <v>6</v>
      </c>
      <c r="J222" s="30">
        <v>6</v>
      </c>
      <c r="K222" s="30">
        <v>6</v>
      </c>
      <c r="L222" s="77">
        <v>6</v>
      </c>
      <c r="M222" s="60"/>
      <c r="N222" s="81">
        <v>4</v>
      </c>
      <c r="O222" s="18"/>
      <c r="P222" s="18"/>
      <c r="Q222" s="53"/>
      <c r="R222" s="53"/>
      <c r="S222" s="53"/>
      <c r="T222" s="53"/>
      <c r="U222" s="18"/>
      <c r="V222" s="18"/>
      <c r="W222" s="18"/>
      <c r="X222" s="74">
        <v>2.5</v>
      </c>
      <c r="Y222" s="18" t="s">
        <v>511</v>
      </c>
      <c r="Z222" s="18"/>
      <c r="AA222" s="90"/>
      <c r="AB222" s="18"/>
      <c r="AC222" s="18"/>
      <c r="AD222" s="18" t="s">
        <v>528</v>
      </c>
      <c r="AE222" s="93">
        <v>1</v>
      </c>
      <c r="AF222" s="18" t="s">
        <v>71</v>
      </c>
      <c r="AG222" s="110" t="s">
        <v>72</v>
      </c>
      <c r="AH222" s="16"/>
    </row>
    <row r="223" spans="1:34" s="14" customFormat="1" ht="13.8">
      <c r="A223" s="51" t="s">
        <v>83</v>
      </c>
      <c r="B223" s="84"/>
      <c r="C223" s="148"/>
      <c r="D223" s="52" t="s">
        <v>436</v>
      </c>
      <c r="E223" s="52" t="s">
        <v>436</v>
      </c>
      <c r="F223" s="149">
        <v>45182</v>
      </c>
      <c r="G223" s="150" t="s">
        <v>568</v>
      </c>
      <c r="H223" s="29" t="s">
        <v>304</v>
      </c>
      <c r="I223" s="30">
        <v>6</v>
      </c>
      <c r="J223" s="30">
        <v>6</v>
      </c>
      <c r="K223" s="30">
        <v>6</v>
      </c>
      <c r="L223" s="77">
        <v>6</v>
      </c>
      <c r="M223" s="60"/>
      <c r="N223" s="81">
        <v>4</v>
      </c>
      <c r="O223" s="18"/>
      <c r="P223" s="18"/>
      <c r="Q223" s="53"/>
      <c r="R223" s="53"/>
      <c r="S223" s="53"/>
      <c r="T223" s="53"/>
      <c r="U223" s="18"/>
      <c r="V223" s="18"/>
      <c r="W223" s="18"/>
      <c r="X223" s="74">
        <v>2.5</v>
      </c>
      <c r="Y223" s="18" t="s">
        <v>511</v>
      </c>
      <c r="Z223" s="74"/>
      <c r="AA223" s="109"/>
      <c r="AB223" s="74"/>
      <c r="AC223" s="74"/>
      <c r="AD223" s="74" t="s">
        <v>448</v>
      </c>
      <c r="AE223" s="103">
        <v>1</v>
      </c>
      <c r="AF223" s="18" t="s">
        <v>71</v>
      </c>
      <c r="AG223" s="110" t="s">
        <v>72</v>
      </c>
      <c r="AH223" s="16"/>
    </row>
    <row r="224" spans="1:34" s="14" customFormat="1" ht="13.8">
      <c r="A224" s="51" t="s">
        <v>83</v>
      </c>
      <c r="B224" s="84" t="str">
        <f>IF(C224="","",C224)</f>
        <v/>
      </c>
      <c r="C224" s="148"/>
      <c r="D224" s="52" t="s">
        <v>436</v>
      </c>
      <c r="E224" s="52" t="s">
        <v>436</v>
      </c>
      <c r="F224" s="149">
        <v>45182</v>
      </c>
      <c r="G224" s="150" t="s">
        <v>569</v>
      </c>
      <c r="H224" s="52" t="s">
        <v>570</v>
      </c>
      <c r="I224" s="30">
        <v>6</v>
      </c>
      <c r="J224" s="30">
        <v>6</v>
      </c>
      <c r="K224" s="30">
        <v>6</v>
      </c>
      <c r="L224" s="77">
        <v>6</v>
      </c>
      <c r="M224" s="60"/>
      <c r="N224" s="81">
        <v>4</v>
      </c>
      <c r="O224" s="18"/>
      <c r="P224" s="18"/>
      <c r="Q224" s="53"/>
      <c r="R224" s="53"/>
      <c r="S224" s="53"/>
      <c r="T224" s="53"/>
      <c r="U224" s="18"/>
      <c r="V224" s="18"/>
      <c r="W224" s="18"/>
      <c r="X224" s="74">
        <v>2.5</v>
      </c>
      <c r="Y224" s="18" t="s">
        <v>511</v>
      </c>
      <c r="Z224" s="18"/>
      <c r="AA224" s="90"/>
      <c r="AB224" s="18"/>
      <c r="AC224" s="18"/>
      <c r="AD224" s="18" t="s">
        <v>448</v>
      </c>
      <c r="AE224" s="93">
        <v>1</v>
      </c>
      <c r="AF224" s="18" t="s">
        <v>71</v>
      </c>
      <c r="AG224" s="94" t="s">
        <v>72</v>
      </c>
      <c r="AH224" s="16"/>
    </row>
    <row r="225" spans="1:34" s="14" customFormat="1" ht="13.8">
      <c r="A225" s="51" t="s">
        <v>83</v>
      </c>
      <c r="B225" s="84" t="str">
        <f>IF(C225="","",C225)</f>
        <v/>
      </c>
      <c r="C225" s="83"/>
      <c r="D225" s="52" t="s">
        <v>436</v>
      </c>
      <c r="E225" s="52" t="s">
        <v>436</v>
      </c>
      <c r="F225" s="237">
        <v>45182</v>
      </c>
      <c r="G225" s="238" t="s">
        <v>571</v>
      </c>
      <c r="H225" s="52" t="s">
        <v>572</v>
      </c>
      <c r="I225" s="234">
        <v>6</v>
      </c>
      <c r="J225" s="234">
        <v>6</v>
      </c>
      <c r="K225" s="30">
        <v>6</v>
      </c>
      <c r="L225" s="239">
        <v>6</v>
      </c>
      <c r="M225" s="111"/>
      <c r="N225" s="240">
        <v>4</v>
      </c>
      <c r="O225" s="52"/>
      <c r="P225" s="52"/>
      <c r="Q225" s="186"/>
      <c r="R225" s="186"/>
      <c r="S225" s="186"/>
      <c r="T225" s="186"/>
      <c r="U225" s="52"/>
      <c r="V225" s="52"/>
      <c r="W225" s="52"/>
      <c r="X225" s="71">
        <v>2.5</v>
      </c>
      <c r="Y225" s="52" t="s">
        <v>511</v>
      </c>
      <c r="Z225" s="52"/>
      <c r="AA225" s="241"/>
      <c r="AB225" s="52"/>
      <c r="AC225" s="52"/>
      <c r="AD225" s="52" t="s">
        <v>448</v>
      </c>
      <c r="AE225" s="98">
        <v>1</v>
      </c>
      <c r="AF225" s="52" t="s">
        <v>71</v>
      </c>
      <c r="AG225" s="110" t="s">
        <v>72</v>
      </c>
      <c r="AH225" s="16"/>
    </row>
    <row r="226" spans="1:34" s="14" customFormat="1" ht="13.8">
      <c r="A226" s="51" t="s">
        <v>83</v>
      </c>
      <c r="B226" s="84"/>
      <c r="C226" s="148"/>
      <c r="D226" s="52" t="s">
        <v>436</v>
      </c>
      <c r="E226" s="52" t="s">
        <v>436</v>
      </c>
      <c r="F226" s="149">
        <v>451811</v>
      </c>
      <c r="G226" s="150" t="s">
        <v>573</v>
      </c>
      <c r="H226" s="111" t="s">
        <v>68</v>
      </c>
      <c r="I226" s="30">
        <v>5</v>
      </c>
      <c r="J226" s="30">
        <v>5</v>
      </c>
      <c r="K226" s="30">
        <v>4</v>
      </c>
      <c r="L226" s="77">
        <v>5</v>
      </c>
      <c r="M226" s="60"/>
      <c r="N226" s="81">
        <v>3</v>
      </c>
      <c r="O226" s="18"/>
      <c r="P226" s="18"/>
      <c r="Q226" s="53"/>
      <c r="R226" s="53"/>
      <c r="S226" s="53"/>
      <c r="T226" s="53"/>
      <c r="U226" s="18"/>
      <c r="V226" s="18"/>
      <c r="W226" s="18"/>
      <c r="X226" s="74">
        <v>2.5</v>
      </c>
      <c r="Y226" s="18" t="s">
        <v>563</v>
      </c>
      <c r="Z226" s="74"/>
      <c r="AA226" s="109"/>
      <c r="AB226" s="74" t="s">
        <v>564</v>
      </c>
      <c r="AC226" s="90">
        <v>0.3</v>
      </c>
      <c r="AD226" s="74" t="s">
        <v>246</v>
      </c>
      <c r="AE226" s="90">
        <v>0.7</v>
      </c>
      <c r="AF226" s="18" t="s">
        <v>71</v>
      </c>
      <c r="AG226" s="110" t="s">
        <v>72</v>
      </c>
      <c r="AH226" s="16"/>
    </row>
    <row r="227" spans="1:34" s="6" customFormat="1">
      <c r="A227" s="51" t="s">
        <v>83</v>
      </c>
      <c r="B227" s="84" t="str">
        <f>IF(C227="","",C227)</f>
        <v/>
      </c>
      <c r="C227" s="148"/>
      <c r="D227" s="52" t="s">
        <v>436</v>
      </c>
      <c r="E227" s="52" t="s">
        <v>436</v>
      </c>
      <c r="F227" s="149">
        <v>451811</v>
      </c>
      <c r="G227" s="150" t="s">
        <v>574</v>
      </c>
      <c r="H227" s="108" t="s">
        <v>566</v>
      </c>
      <c r="I227" s="30">
        <v>5</v>
      </c>
      <c r="J227" s="30">
        <v>5</v>
      </c>
      <c r="K227" s="30">
        <v>4</v>
      </c>
      <c r="L227" s="77">
        <v>5</v>
      </c>
      <c r="M227" s="60"/>
      <c r="N227" s="81">
        <v>3</v>
      </c>
      <c r="O227" s="18"/>
      <c r="P227" s="18"/>
      <c r="Q227" s="53"/>
      <c r="R227" s="53"/>
      <c r="S227" s="53"/>
      <c r="T227" s="53"/>
      <c r="U227" s="18"/>
      <c r="V227" s="18"/>
      <c r="W227" s="18"/>
      <c r="X227" s="74">
        <v>2.5</v>
      </c>
      <c r="Y227" s="18" t="s">
        <v>511</v>
      </c>
      <c r="Z227" s="74"/>
      <c r="AA227" s="109"/>
      <c r="AB227" s="74"/>
      <c r="AC227" s="74"/>
      <c r="AD227" s="74" t="s">
        <v>448</v>
      </c>
      <c r="AE227" s="103">
        <v>1</v>
      </c>
      <c r="AF227" s="18" t="s">
        <v>71</v>
      </c>
      <c r="AG227" s="110" t="s">
        <v>72</v>
      </c>
      <c r="AH227" s="16"/>
    </row>
    <row r="228" spans="1:34" s="4" customFormat="1">
      <c r="A228" s="51" t="s">
        <v>83</v>
      </c>
      <c r="B228" s="84" t="str">
        <f>IF(C228="","",C228)</f>
        <v/>
      </c>
      <c r="C228" s="148"/>
      <c r="D228" s="52" t="s">
        <v>436</v>
      </c>
      <c r="E228" s="52" t="s">
        <v>436</v>
      </c>
      <c r="F228" s="149">
        <v>451811</v>
      </c>
      <c r="G228" s="150" t="s">
        <v>575</v>
      </c>
      <c r="H228" s="52" t="s">
        <v>570</v>
      </c>
      <c r="I228" s="30">
        <v>5</v>
      </c>
      <c r="J228" s="30">
        <v>5</v>
      </c>
      <c r="K228" s="30">
        <v>4</v>
      </c>
      <c r="L228" s="77">
        <v>5</v>
      </c>
      <c r="M228" s="60"/>
      <c r="N228" s="81">
        <v>3</v>
      </c>
      <c r="O228" s="18"/>
      <c r="P228" s="18"/>
      <c r="Q228" s="53"/>
      <c r="R228" s="53"/>
      <c r="S228" s="53"/>
      <c r="T228" s="53"/>
      <c r="U228" s="18"/>
      <c r="V228" s="18"/>
      <c r="W228" s="18"/>
      <c r="X228" s="74">
        <v>2.5</v>
      </c>
      <c r="Y228" s="18" t="s">
        <v>511</v>
      </c>
      <c r="Z228" s="18"/>
      <c r="AA228" s="90"/>
      <c r="AB228" s="18"/>
      <c r="AC228" s="18"/>
      <c r="AD228" s="18" t="s">
        <v>448</v>
      </c>
      <c r="AE228" s="93">
        <v>1</v>
      </c>
      <c r="AF228" s="18" t="s">
        <v>71</v>
      </c>
      <c r="AG228" s="94" t="s">
        <v>72</v>
      </c>
      <c r="AH228" s="16"/>
    </row>
    <row r="229" spans="1:34">
      <c r="A229" s="51" t="s">
        <v>83</v>
      </c>
      <c r="B229" s="84"/>
      <c r="C229" s="148"/>
      <c r="D229" s="52" t="s">
        <v>436</v>
      </c>
      <c r="E229" s="52" t="s">
        <v>436</v>
      </c>
      <c r="F229" s="149">
        <v>451811</v>
      </c>
      <c r="G229" s="150" t="s">
        <v>576</v>
      </c>
      <c r="H229" s="111" t="s">
        <v>304</v>
      </c>
      <c r="I229" s="30">
        <v>5</v>
      </c>
      <c r="J229" s="30">
        <v>5</v>
      </c>
      <c r="K229" s="30">
        <v>4</v>
      </c>
      <c r="L229" s="77">
        <v>5</v>
      </c>
      <c r="M229" s="60"/>
      <c r="N229" s="81">
        <v>3</v>
      </c>
      <c r="O229" s="18"/>
      <c r="P229" s="18"/>
      <c r="Q229" s="53"/>
      <c r="R229" s="53"/>
      <c r="S229" s="53"/>
      <c r="T229" s="53"/>
      <c r="U229" s="18"/>
      <c r="V229" s="18"/>
      <c r="W229" s="18"/>
      <c r="X229" s="74">
        <v>2.5</v>
      </c>
      <c r="Y229" s="18" t="s">
        <v>511</v>
      </c>
      <c r="Z229" s="74"/>
      <c r="AA229" s="109"/>
      <c r="AB229" s="74" t="s">
        <v>577</v>
      </c>
      <c r="AC229" s="90">
        <v>0.5</v>
      </c>
      <c r="AD229" s="74" t="s">
        <v>246</v>
      </c>
      <c r="AE229" s="90">
        <v>0.5</v>
      </c>
      <c r="AF229" s="18" t="s">
        <v>71</v>
      </c>
      <c r="AG229" s="110" t="s">
        <v>72</v>
      </c>
      <c r="AH229" s="16"/>
    </row>
    <row r="230" spans="1:34">
      <c r="A230" s="51" t="s">
        <v>83</v>
      </c>
      <c r="B230" s="84" t="str">
        <f t="shared" ref="B230:B271" si="7">IF(C230="","",C230)</f>
        <v/>
      </c>
      <c r="C230" s="83"/>
      <c r="D230" s="52" t="s">
        <v>436</v>
      </c>
      <c r="E230" s="52" t="s">
        <v>436</v>
      </c>
      <c r="F230" s="100">
        <v>46182</v>
      </c>
      <c r="G230" s="101" t="s">
        <v>578</v>
      </c>
      <c r="H230" s="29" t="s">
        <v>367</v>
      </c>
      <c r="I230" s="29"/>
      <c r="J230" s="29"/>
      <c r="K230" s="29"/>
      <c r="L230" s="18"/>
      <c r="M230" s="77">
        <v>5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>
        <v>5</v>
      </c>
      <c r="Y230" s="18" t="s">
        <v>511</v>
      </c>
      <c r="Z230" s="74"/>
      <c r="AA230" s="109"/>
      <c r="AB230" s="74"/>
      <c r="AC230" s="74"/>
      <c r="AD230" s="74" t="s">
        <v>448</v>
      </c>
      <c r="AE230" s="103">
        <v>1</v>
      </c>
      <c r="AF230" s="74" t="s">
        <v>71</v>
      </c>
      <c r="AG230" s="110" t="s">
        <v>148</v>
      </c>
      <c r="AH230" s="16"/>
    </row>
    <row r="231" spans="1:34" s="4" customFormat="1">
      <c r="A231" s="51" t="s">
        <v>83</v>
      </c>
      <c r="B231" s="84" t="str">
        <f t="shared" si="7"/>
        <v/>
      </c>
      <c r="C231" s="83"/>
      <c r="D231" s="52" t="s">
        <v>436</v>
      </c>
      <c r="E231" s="52" t="s">
        <v>436</v>
      </c>
      <c r="F231" s="106">
        <v>46183</v>
      </c>
      <c r="G231" s="107" t="s">
        <v>579</v>
      </c>
      <c r="H231" s="29" t="s">
        <v>580</v>
      </c>
      <c r="I231" s="18"/>
      <c r="J231" s="18"/>
      <c r="K231" s="18"/>
      <c r="L231" s="18"/>
      <c r="M231" s="18"/>
      <c r="N231" s="18"/>
      <c r="O231" s="88">
        <v>4</v>
      </c>
      <c r="P231" s="18"/>
      <c r="Q231" s="31">
        <v>8</v>
      </c>
      <c r="R231" s="18"/>
      <c r="S231" s="18"/>
      <c r="T231" s="18"/>
      <c r="U231" s="18"/>
      <c r="V231" s="18"/>
      <c r="W231" s="18"/>
      <c r="X231" s="28">
        <v>5</v>
      </c>
      <c r="Y231" s="18" t="s">
        <v>511</v>
      </c>
      <c r="Z231" s="18"/>
      <c r="AA231" s="90"/>
      <c r="AB231" s="18"/>
      <c r="AC231" s="18"/>
      <c r="AD231" s="52" t="s">
        <v>528</v>
      </c>
      <c r="AE231" s="93">
        <v>1</v>
      </c>
      <c r="AF231" s="18" t="s">
        <v>71</v>
      </c>
      <c r="AG231" s="72" t="s">
        <v>581</v>
      </c>
      <c r="AH231" s="16"/>
    </row>
    <row r="232" spans="1:34" s="4" customFormat="1">
      <c r="A232" s="51" t="s">
        <v>83</v>
      </c>
      <c r="B232" s="84" t="str">
        <f t="shared" si="7"/>
        <v/>
      </c>
      <c r="C232" s="83"/>
      <c r="D232" s="52" t="s">
        <v>436</v>
      </c>
      <c r="E232" s="52" t="s">
        <v>436</v>
      </c>
      <c r="F232" s="104">
        <v>46186</v>
      </c>
      <c r="G232" s="105" t="s">
        <v>582</v>
      </c>
      <c r="H232" s="29" t="s">
        <v>300</v>
      </c>
      <c r="I232" s="18"/>
      <c r="J232" s="18"/>
      <c r="K232" s="18"/>
      <c r="L232" s="18"/>
      <c r="M232" s="18"/>
      <c r="N232" s="18"/>
      <c r="O232" s="18"/>
      <c r="P232" s="88">
        <v>7</v>
      </c>
      <c r="Q232" s="18"/>
      <c r="R232" s="217">
        <v>5</v>
      </c>
      <c r="S232" s="18"/>
      <c r="T232" s="18"/>
      <c r="U232" s="18"/>
      <c r="V232" s="18"/>
      <c r="W232" s="18"/>
      <c r="X232" s="28">
        <v>5</v>
      </c>
      <c r="Y232" s="18" t="s">
        <v>511</v>
      </c>
      <c r="Z232" s="18"/>
      <c r="AA232" s="90"/>
      <c r="AB232" s="18"/>
      <c r="AC232" s="18"/>
      <c r="AD232" s="18" t="s">
        <v>448</v>
      </c>
      <c r="AE232" s="93">
        <v>1</v>
      </c>
      <c r="AF232" s="18" t="s">
        <v>71</v>
      </c>
      <c r="AG232" s="110" t="s">
        <v>318</v>
      </c>
      <c r="AH232" s="16"/>
    </row>
    <row r="233" spans="1:34" s="4" customFormat="1" ht="26.4">
      <c r="A233" s="51" t="s">
        <v>83</v>
      </c>
      <c r="B233" s="84" t="str">
        <f t="shared" si="7"/>
        <v/>
      </c>
      <c r="C233" s="83"/>
      <c r="D233" s="52" t="s">
        <v>436</v>
      </c>
      <c r="E233" s="52" t="s">
        <v>436</v>
      </c>
      <c r="F233" s="86">
        <v>46896</v>
      </c>
      <c r="G233" s="87" t="s">
        <v>583</v>
      </c>
      <c r="H233" s="18" t="s">
        <v>570</v>
      </c>
      <c r="I233" s="18"/>
      <c r="J233" s="30" t="s">
        <v>215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>
        <v>5</v>
      </c>
      <c r="Y233" s="28"/>
      <c r="Z233" s="18"/>
      <c r="AA233" s="93"/>
      <c r="AB233" s="28"/>
      <c r="AC233" s="28"/>
      <c r="AD233" s="18" t="s">
        <v>584</v>
      </c>
      <c r="AE233" s="93">
        <v>1</v>
      </c>
      <c r="AF233" s="18" t="s">
        <v>71</v>
      </c>
      <c r="AG233" s="110" t="s">
        <v>214</v>
      </c>
      <c r="AH233" s="16"/>
    </row>
    <row r="234" spans="1:34" s="4" customFormat="1">
      <c r="A234" s="51" t="s">
        <v>83</v>
      </c>
      <c r="B234" s="84" t="str">
        <f t="shared" si="7"/>
        <v/>
      </c>
      <c r="C234" s="83"/>
      <c r="D234" s="52" t="s">
        <v>436</v>
      </c>
      <c r="E234" s="52" t="s">
        <v>436</v>
      </c>
      <c r="F234" s="243">
        <v>46884</v>
      </c>
      <c r="G234" s="244" t="s">
        <v>585</v>
      </c>
      <c r="H234" s="111" t="s">
        <v>237</v>
      </c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151" t="s">
        <v>113</v>
      </c>
      <c r="W234" s="52"/>
      <c r="X234" s="187">
        <v>5</v>
      </c>
      <c r="Y234" s="187"/>
      <c r="Z234" s="52"/>
      <c r="AA234" s="98"/>
      <c r="AB234" s="152" t="s">
        <v>526</v>
      </c>
      <c r="AC234" s="98">
        <v>0.33329999999999999</v>
      </c>
      <c r="AD234" s="52" t="s">
        <v>465</v>
      </c>
      <c r="AE234" s="98">
        <v>0.66669999999999996</v>
      </c>
      <c r="AF234" s="52" t="s">
        <v>71</v>
      </c>
      <c r="AG234" s="73" t="s">
        <v>318</v>
      </c>
      <c r="AH234" s="16"/>
    </row>
    <row r="235" spans="1:34">
      <c r="A235" s="51" t="s">
        <v>83</v>
      </c>
      <c r="B235" s="84" t="str">
        <f t="shared" si="7"/>
        <v/>
      </c>
      <c r="C235" s="83"/>
      <c r="D235" s="52" t="s">
        <v>436</v>
      </c>
      <c r="E235" s="52" t="s">
        <v>436</v>
      </c>
      <c r="F235" s="243">
        <v>46884</v>
      </c>
      <c r="G235" s="244" t="s">
        <v>586</v>
      </c>
      <c r="H235" s="111" t="s">
        <v>237</v>
      </c>
      <c r="I235" s="53"/>
      <c r="J235" s="53"/>
      <c r="K235" s="53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97" t="s">
        <v>233</v>
      </c>
      <c r="X235" s="28">
        <v>6</v>
      </c>
      <c r="Y235" s="28"/>
      <c r="Z235" s="18"/>
      <c r="AA235" s="28"/>
      <c r="AB235" s="152" t="s">
        <v>526</v>
      </c>
      <c r="AC235" s="98">
        <v>0.33329999999999999</v>
      </c>
      <c r="AD235" s="52" t="s">
        <v>465</v>
      </c>
      <c r="AE235" s="98">
        <v>0.66669999999999996</v>
      </c>
      <c r="AF235" s="52" t="s">
        <v>71</v>
      </c>
      <c r="AG235" s="54"/>
      <c r="AH235" s="16"/>
    </row>
    <row r="236" spans="1:34" s="4" customFormat="1">
      <c r="A236" s="51" t="s">
        <v>83</v>
      </c>
      <c r="B236" s="84" t="str">
        <f t="shared" si="7"/>
        <v/>
      </c>
      <c r="C236" s="83"/>
      <c r="D236" s="52" t="s">
        <v>436</v>
      </c>
      <c r="E236" s="52" t="s">
        <v>436</v>
      </c>
      <c r="F236" s="86">
        <v>45262</v>
      </c>
      <c r="G236" s="87" t="s">
        <v>587</v>
      </c>
      <c r="H236" s="29" t="s">
        <v>160</v>
      </c>
      <c r="I236" s="29"/>
      <c r="J236" s="29"/>
      <c r="K236" s="29"/>
      <c r="L236" s="18"/>
      <c r="M236" s="77">
        <v>6</v>
      </c>
      <c r="N236" s="18"/>
      <c r="O236" s="88">
        <v>6</v>
      </c>
      <c r="P236" s="18"/>
      <c r="Q236" s="31">
        <v>6</v>
      </c>
      <c r="R236" s="18"/>
      <c r="S236" s="18"/>
      <c r="T236" s="18"/>
      <c r="U236" s="18"/>
      <c r="V236" s="18"/>
      <c r="W236" s="18"/>
      <c r="X236" s="28">
        <v>5</v>
      </c>
      <c r="Y236" s="28"/>
      <c r="Z236" s="18"/>
      <c r="AA236" s="93"/>
      <c r="AB236" s="28"/>
      <c r="AC236" s="28"/>
      <c r="AD236" s="18" t="s">
        <v>439</v>
      </c>
      <c r="AE236" s="93">
        <v>1</v>
      </c>
      <c r="AF236" s="18" t="s">
        <v>71</v>
      </c>
      <c r="AG236" s="94" t="s">
        <v>181</v>
      </c>
      <c r="AH236" s="16"/>
    </row>
    <row r="237" spans="1:34" ht="26.4">
      <c r="A237" s="51" t="s">
        <v>83</v>
      </c>
      <c r="B237" s="84" t="str">
        <f t="shared" si="7"/>
        <v/>
      </c>
      <c r="C237" s="83"/>
      <c r="D237" s="52" t="s">
        <v>436</v>
      </c>
      <c r="E237" s="52" t="s">
        <v>436</v>
      </c>
      <c r="F237" s="100">
        <v>43051</v>
      </c>
      <c r="G237" s="116" t="s">
        <v>588</v>
      </c>
      <c r="H237" s="29" t="s">
        <v>589</v>
      </c>
      <c r="I237" s="30">
        <v>3</v>
      </c>
      <c r="J237" s="30">
        <v>3</v>
      </c>
      <c r="K237" s="30">
        <v>3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>
        <v>5</v>
      </c>
      <c r="Y237" s="28"/>
      <c r="Z237" s="18"/>
      <c r="AA237" s="93"/>
      <c r="AB237" s="28"/>
      <c r="AC237" s="28"/>
      <c r="AD237" s="18" t="s">
        <v>465</v>
      </c>
      <c r="AE237" s="93">
        <v>1</v>
      </c>
      <c r="AF237" s="18" t="s">
        <v>71</v>
      </c>
      <c r="AG237" s="110" t="s">
        <v>590</v>
      </c>
      <c r="AH237" s="16"/>
    </row>
    <row r="238" spans="1:34">
      <c r="A238" s="51" t="s">
        <v>83</v>
      </c>
      <c r="B238" s="84" t="str">
        <f t="shared" si="7"/>
        <v/>
      </c>
      <c r="C238" s="83"/>
      <c r="D238" s="52" t="s">
        <v>436</v>
      </c>
      <c r="E238" s="52" t="s">
        <v>436</v>
      </c>
      <c r="F238" s="100">
        <v>43051</v>
      </c>
      <c r="G238" s="116" t="s">
        <v>588</v>
      </c>
      <c r="H238" s="111" t="s">
        <v>395</v>
      </c>
      <c r="I238" s="29"/>
      <c r="J238" s="29"/>
      <c r="K238" s="29"/>
      <c r="L238" s="77">
        <v>3</v>
      </c>
      <c r="M238" s="77">
        <v>3</v>
      </c>
      <c r="N238" s="81">
        <v>3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28">
        <v>5</v>
      </c>
      <c r="Y238" s="28"/>
      <c r="Z238" s="18"/>
      <c r="AA238" s="93"/>
      <c r="AB238" s="28" t="s">
        <v>398</v>
      </c>
      <c r="AC238" s="93">
        <v>0.65</v>
      </c>
      <c r="AD238" s="28" t="s">
        <v>398</v>
      </c>
      <c r="AE238" s="93">
        <v>0.35</v>
      </c>
      <c r="AF238" s="18" t="s">
        <v>71</v>
      </c>
      <c r="AG238" s="110" t="s">
        <v>337</v>
      </c>
      <c r="AH238" s="16"/>
    </row>
    <row r="239" spans="1:34" ht="26.4">
      <c r="A239" s="51" t="s">
        <v>83</v>
      </c>
      <c r="B239" s="84" t="str">
        <f t="shared" si="7"/>
        <v/>
      </c>
      <c r="C239" s="83"/>
      <c r="D239" s="52" t="s">
        <v>436</v>
      </c>
      <c r="E239" s="52" t="s">
        <v>436</v>
      </c>
      <c r="F239" s="86">
        <v>44121</v>
      </c>
      <c r="G239" s="87" t="s">
        <v>591</v>
      </c>
      <c r="H239" s="29" t="s">
        <v>589</v>
      </c>
      <c r="I239" s="30">
        <v>4</v>
      </c>
      <c r="J239" s="30">
        <v>4</v>
      </c>
      <c r="K239" s="30">
        <v>4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>
        <v>5</v>
      </c>
      <c r="Y239" s="28"/>
      <c r="Z239" s="18"/>
      <c r="AA239" s="93"/>
      <c r="AB239" s="18"/>
      <c r="AC239" s="93"/>
      <c r="AD239" s="18" t="s">
        <v>465</v>
      </c>
      <c r="AE239" s="93">
        <v>1</v>
      </c>
      <c r="AF239" s="18"/>
      <c r="AG239" s="110" t="s">
        <v>590</v>
      </c>
      <c r="AH239" s="16"/>
    </row>
    <row r="240" spans="1:34" ht="26.4">
      <c r="A240" s="51" t="s">
        <v>83</v>
      </c>
      <c r="B240" s="84" t="str">
        <f t="shared" si="7"/>
        <v/>
      </c>
      <c r="C240" s="83"/>
      <c r="D240" s="52" t="s">
        <v>436</v>
      </c>
      <c r="E240" s="52" t="s">
        <v>436</v>
      </c>
      <c r="F240" s="100">
        <v>43051</v>
      </c>
      <c r="G240" s="116" t="s">
        <v>592</v>
      </c>
      <c r="H240" s="29" t="s">
        <v>589</v>
      </c>
      <c r="I240" s="18"/>
      <c r="J240" s="18"/>
      <c r="K240" s="18"/>
      <c r="L240" s="18" t="s">
        <v>12</v>
      </c>
      <c r="M240" s="18"/>
      <c r="N240" s="18"/>
      <c r="O240" s="88">
        <v>3</v>
      </c>
      <c r="P240" s="88" t="s">
        <v>182</v>
      </c>
      <c r="Q240" s="89"/>
      <c r="R240" s="89"/>
      <c r="S240" s="18"/>
      <c r="T240" s="18"/>
      <c r="U240" s="18"/>
      <c r="V240" s="18"/>
      <c r="W240" s="18"/>
      <c r="X240" s="28">
        <v>5</v>
      </c>
      <c r="Y240" s="28"/>
      <c r="Z240" s="18"/>
      <c r="AA240" s="93"/>
      <c r="AB240" s="28"/>
      <c r="AC240" s="28"/>
      <c r="AD240" s="18" t="s">
        <v>465</v>
      </c>
      <c r="AE240" s="93">
        <v>1</v>
      </c>
      <c r="AF240" s="18" t="s">
        <v>71</v>
      </c>
      <c r="AG240" s="110" t="s">
        <v>590</v>
      </c>
      <c r="AH240" s="16"/>
    </row>
    <row r="241" spans="1:34" ht="26.4">
      <c r="A241" s="51" t="s">
        <v>83</v>
      </c>
      <c r="B241" s="84" t="str">
        <f t="shared" si="7"/>
        <v/>
      </c>
      <c r="C241" s="83"/>
      <c r="D241" s="52" t="s">
        <v>436</v>
      </c>
      <c r="E241" s="52" t="s">
        <v>436</v>
      </c>
      <c r="F241" s="86">
        <v>44122</v>
      </c>
      <c r="G241" s="87" t="s">
        <v>414</v>
      </c>
      <c r="H241" s="29" t="s">
        <v>589</v>
      </c>
      <c r="I241" s="18"/>
      <c r="J241" s="18"/>
      <c r="K241" s="18"/>
      <c r="L241" s="18"/>
      <c r="M241" s="18"/>
      <c r="N241" s="18"/>
      <c r="O241" s="88">
        <v>4</v>
      </c>
      <c r="P241" s="88" t="s">
        <v>182</v>
      </c>
      <c r="Q241" s="18"/>
      <c r="R241" s="18"/>
      <c r="S241" s="18"/>
      <c r="T241" s="18"/>
      <c r="U241" s="18"/>
      <c r="V241" s="18"/>
      <c r="W241" s="18"/>
      <c r="X241" s="28">
        <v>5</v>
      </c>
      <c r="Y241" s="28"/>
      <c r="Z241" s="18"/>
      <c r="AA241" s="93"/>
      <c r="AB241" s="18"/>
      <c r="AC241" s="93"/>
      <c r="AD241" s="18" t="s">
        <v>465</v>
      </c>
      <c r="AE241" s="93">
        <v>1</v>
      </c>
      <c r="AF241" s="18"/>
      <c r="AG241" s="110" t="s">
        <v>590</v>
      </c>
      <c r="AH241" s="16"/>
    </row>
    <row r="242" spans="1:34" ht="26.4">
      <c r="A242" s="51" t="s">
        <v>83</v>
      </c>
      <c r="B242" s="84" t="str">
        <f t="shared" si="7"/>
        <v/>
      </c>
      <c r="C242" s="83"/>
      <c r="D242" s="52" t="s">
        <v>436</v>
      </c>
      <c r="E242" s="52" t="s">
        <v>436</v>
      </c>
      <c r="F242" s="119">
        <v>44232</v>
      </c>
      <c r="G242" s="120" t="s">
        <v>593</v>
      </c>
      <c r="H242" s="111" t="s">
        <v>298</v>
      </c>
      <c r="I242" s="29"/>
      <c r="J242" s="30">
        <v>4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>
        <v>5</v>
      </c>
      <c r="Y242" s="28"/>
      <c r="Z242" s="18"/>
      <c r="AA242" s="93"/>
      <c r="AB242" s="28"/>
      <c r="AC242" s="28"/>
      <c r="AD242" s="18" t="s">
        <v>594</v>
      </c>
      <c r="AE242" s="90" t="s">
        <v>595</v>
      </c>
      <c r="AF242" s="18" t="s">
        <v>71</v>
      </c>
      <c r="AG242" s="94" t="s">
        <v>183</v>
      </c>
      <c r="AH242" s="16"/>
    </row>
    <row r="243" spans="1:34" s="4" customFormat="1" ht="66">
      <c r="A243" s="115" t="s">
        <v>64</v>
      </c>
      <c r="B243" s="84" t="str">
        <f t="shared" si="7"/>
        <v/>
      </c>
      <c r="C243" s="83"/>
      <c r="D243" s="52" t="s">
        <v>436</v>
      </c>
      <c r="E243" s="52" t="s">
        <v>436</v>
      </c>
      <c r="F243" s="132">
        <v>41102</v>
      </c>
      <c r="G243" s="120" t="s">
        <v>605</v>
      </c>
      <c r="H243" s="18" t="s">
        <v>606</v>
      </c>
      <c r="I243" s="30">
        <v>2</v>
      </c>
      <c r="J243" s="30">
        <v>2</v>
      </c>
      <c r="K243" s="30">
        <v>2</v>
      </c>
      <c r="L243" s="18"/>
      <c r="M243" s="18"/>
      <c r="N243" s="18"/>
      <c r="O243" s="88">
        <v>2</v>
      </c>
      <c r="P243" s="88">
        <v>2</v>
      </c>
      <c r="Q243" s="108"/>
      <c r="R243" s="108"/>
      <c r="S243" s="18"/>
      <c r="T243" s="18"/>
      <c r="U243" s="18"/>
      <c r="V243" s="18"/>
      <c r="W243" s="18"/>
      <c r="X243" s="28">
        <v>2.5</v>
      </c>
      <c r="Y243" s="18" t="s">
        <v>530</v>
      </c>
      <c r="Z243" s="18"/>
      <c r="AA243" s="90"/>
      <c r="AB243" s="18" t="s">
        <v>564</v>
      </c>
      <c r="AC243" s="133">
        <v>1</v>
      </c>
      <c r="AD243" s="18" t="s">
        <v>71</v>
      </c>
      <c r="AE243" s="93"/>
      <c r="AF243" s="18" t="s">
        <v>71</v>
      </c>
      <c r="AG243" s="94" t="s">
        <v>160</v>
      </c>
      <c r="AH243" s="16"/>
    </row>
    <row r="244" spans="1:34">
      <c r="A244" s="51" t="s">
        <v>83</v>
      </c>
      <c r="B244" s="84" t="str">
        <f t="shared" si="7"/>
        <v/>
      </c>
      <c r="C244" s="83"/>
      <c r="D244" s="52" t="s">
        <v>436</v>
      </c>
      <c r="E244" s="52" t="s">
        <v>436</v>
      </c>
      <c r="F244" s="100">
        <v>45442</v>
      </c>
      <c r="G244" s="101" t="s">
        <v>159</v>
      </c>
      <c r="H244" s="29" t="s">
        <v>160</v>
      </c>
      <c r="I244" s="29"/>
      <c r="J244" s="29"/>
      <c r="K244" s="29"/>
      <c r="L244" s="77">
        <v>5</v>
      </c>
      <c r="M244" s="77">
        <v>5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>
        <v>5</v>
      </c>
      <c r="Y244" s="28"/>
      <c r="Z244" s="18"/>
      <c r="AA244" s="93"/>
      <c r="AB244" s="28"/>
      <c r="AC244" s="28"/>
      <c r="AD244" s="18" t="s">
        <v>701</v>
      </c>
      <c r="AE244" s="93">
        <v>1</v>
      </c>
      <c r="AF244" s="18" t="s">
        <v>71</v>
      </c>
      <c r="AG244" s="110" t="s">
        <v>161</v>
      </c>
      <c r="AH244" s="16"/>
    </row>
    <row r="245" spans="1:34" s="4" customFormat="1">
      <c r="A245" s="51" t="s">
        <v>83</v>
      </c>
      <c r="B245" s="84" t="str">
        <f t="shared" si="7"/>
        <v/>
      </c>
      <c r="C245" s="83"/>
      <c r="D245" s="52" t="s">
        <v>436</v>
      </c>
      <c r="E245" s="52" t="s">
        <v>436</v>
      </c>
      <c r="F245" s="119">
        <v>47716</v>
      </c>
      <c r="G245" s="120" t="s">
        <v>596</v>
      </c>
      <c r="H245" s="29" t="s">
        <v>160</v>
      </c>
      <c r="I245" s="29"/>
      <c r="J245" s="29"/>
      <c r="K245" s="29"/>
      <c r="L245" s="18"/>
      <c r="M245" s="18"/>
      <c r="N245" s="18"/>
      <c r="O245" s="18"/>
      <c r="P245" s="18"/>
      <c r="Q245" s="18"/>
      <c r="R245" s="18"/>
      <c r="S245" s="18"/>
      <c r="T245" s="18"/>
      <c r="U245" s="39" t="s">
        <v>357</v>
      </c>
      <c r="V245" s="18"/>
      <c r="W245" s="18"/>
      <c r="X245" s="28">
        <v>5</v>
      </c>
      <c r="Y245" s="28"/>
      <c r="Z245" s="18"/>
      <c r="AA245" s="93"/>
      <c r="AB245" s="28"/>
      <c r="AC245" s="28"/>
      <c r="AD245" s="18" t="s">
        <v>439</v>
      </c>
      <c r="AE245" s="93">
        <v>1</v>
      </c>
      <c r="AF245" s="18" t="s">
        <v>71</v>
      </c>
      <c r="AG245" s="94" t="s">
        <v>161</v>
      </c>
      <c r="AH245" s="16"/>
    </row>
    <row r="246" spans="1:34">
      <c r="A246" s="51" t="s">
        <v>83</v>
      </c>
      <c r="B246" s="84" t="str">
        <f t="shared" si="7"/>
        <v/>
      </c>
      <c r="C246" s="83"/>
      <c r="D246" s="52" t="s">
        <v>436</v>
      </c>
      <c r="E246" s="52" t="s">
        <v>436</v>
      </c>
      <c r="F246" s="100">
        <v>46918</v>
      </c>
      <c r="G246" s="101" t="s">
        <v>597</v>
      </c>
      <c r="H246" s="29" t="s">
        <v>151</v>
      </c>
      <c r="I246" s="74"/>
      <c r="J246" s="74"/>
      <c r="K246" s="74"/>
      <c r="L246" s="74"/>
      <c r="M246" s="74"/>
      <c r="N246" s="102"/>
      <c r="O246" s="53"/>
      <c r="P246" s="53"/>
      <c r="Q246" s="74"/>
      <c r="R246" s="74"/>
      <c r="S246" s="18"/>
      <c r="T246" s="18"/>
      <c r="U246" s="18"/>
      <c r="V246" s="79" t="s">
        <v>233</v>
      </c>
      <c r="W246" s="18"/>
      <c r="X246" s="28">
        <v>5</v>
      </c>
      <c r="Y246" s="28"/>
      <c r="Z246" s="74"/>
      <c r="AA246" s="103"/>
      <c r="AB246" s="75" t="s">
        <v>505</v>
      </c>
      <c r="AC246" s="103">
        <v>0.5</v>
      </c>
      <c r="AD246" s="74" t="s">
        <v>465</v>
      </c>
      <c r="AE246" s="103">
        <v>0.5</v>
      </c>
      <c r="AF246" s="18" t="s">
        <v>71</v>
      </c>
      <c r="AG246" s="72" t="s">
        <v>468</v>
      </c>
      <c r="AH246" s="16"/>
    </row>
    <row r="247" spans="1:34">
      <c r="A247" s="51" t="s">
        <v>83</v>
      </c>
      <c r="B247" s="84" t="str">
        <f t="shared" si="7"/>
        <v/>
      </c>
      <c r="C247" s="52"/>
      <c r="D247" s="52" t="s">
        <v>436</v>
      </c>
      <c r="E247" s="52" t="s">
        <v>436</v>
      </c>
      <c r="F247" s="104">
        <v>46918</v>
      </c>
      <c r="G247" s="105" t="s">
        <v>598</v>
      </c>
      <c r="H247" s="20" t="s">
        <v>151</v>
      </c>
      <c r="I247" s="53"/>
      <c r="J247" s="53"/>
      <c r="K247" s="53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97" t="s">
        <v>396</v>
      </c>
      <c r="X247" s="28">
        <v>6</v>
      </c>
      <c r="Y247" s="28"/>
      <c r="Z247" s="18"/>
      <c r="AA247" s="28"/>
      <c r="AB247" s="75" t="s">
        <v>505</v>
      </c>
      <c r="AC247" s="103">
        <v>0.5</v>
      </c>
      <c r="AD247" s="74" t="s">
        <v>465</v>
      </c>
      <c r="AE247" s="103">
        <v>0.5</v>
      </c>
      <c r="AF247" s="18" t="s">
        <v>71</v>
      </c>
      <c r="AG247" s="72" t="s">
        <v>468</v>
      </c>
      <c r="AH247" s="16"/>
    </row>
    <row r="248" spans="1:34">
      <c r="A248" s="51" t="s">
        <v>83</v>
      </c>
      <c r="B248" s="84" t="str">
        <f t="shared" si="7"/>
        <v/>
      </c>
      <c r="C248" s="83"/>
      <c r="D248" s="52" t="s">
        <v>436</v>
      </c>
      <c r="E248" s="52" t="s">
        <v>436</v>
      </c>
      <c r="F248" s="119">
        <v>46262</v>
      </c>
      <c r="G248" s="120" t="s">
        <v>599</v>
      </c>
      <c r="H248" s="29" t="s">
        <v>300</v>
      </c>
      <c r="I248" s="18"/>
      <c r="J248" s="18"/>
      <c r="K248" s="18"/>
      <c r="L248" s="18"/>
      <c r="M248" s="18"/>
      <c r="N248" s="18"/>
      <c r="O248" s="18"/>
      <c r="P248" s="18"/>
      <c r="Q248" s="31">
        <v>6</v>
      </c>
      <c r="R248" s="31">
        <v>6</v>
      </c>
      <c r="S248" s="18"/>
      <c r="T248" s="18"/>
      <c r="U248" s="18"/>
      <c r="V248" s="18"/>
      <c r="W248" s="18"/>
      <c r="X248" s="28">
        <v>5</v>
      </c>
      <c r="Y248" s="28"/>
      <c r="Z248" s="18"/>
      <c r="AA248" s="93"/>
      <c r="AB248" s="28"/>
      <c r="AC248" s="93"/>
      <c r="AD248" s="18" t="s">
        <v>71</v>
      </c>
      <c r="AE248" s="93">
        <v>1</v>
      </c>
      <c r="AF248" s="18" t="s">
        <v>71</v>
      </c>
      <c r="AG248" s="72" t="s">
        <v>542</v>
      </c>
      <c r="AH248" s="16"/>
    </row>
    <row r="249" spans="1:34">
      <c r="A249" s="51" t="s">
        <v>83</v>
      </c>
      <c r="B249" s="84" t="str">
        <f t="shared" si="7"/>
        <v/>
      </c>
      <c r="C249" s="83"/>
      <c r="D249" s="52" t="s">
        <v>436</v>
      </c>
      <c r="E249" s="52" t="s">
        <v>436</v>
      </c>
      <c r="F249" s="86">
        <v>46908</v>
      </c>
      <c r="G249" s="87" t="s">
        <v>600</v>
      </c>
      <c r="H249" s="29" t="s">
        <v>386</v>
      </c>
      <c r="I249" s="29"/>
      <c r="J249" s="29"/>
      <c r="K249" s="29"/>
      <c r="L249" s="18"/>
      <c r="M249" s="18"/>
      <c r="N249" s="18"/>
      <c r="O249" s="18"/>
      <c r="P249" s="18"/>
      <c r="Q249" s="18"/>
      <c r="R249" s="18"/>
      <c r="S249" s="78" t="s">
        <v>263</v>
      </c>
      <c r="T249" s="78" t="s">
        <v>99</v>
      </c>
      <c r="U249" s="80" t="s">
        <v>99</v>
      </c>
      <c r="V249" s="79" t="s">
        <v>99</v>
      </c>
      <c r="W249" s="18"/>
      <c r="X249" s="28">
        <v>5</v>
      </c>
      <c r="Y249" s="28"/>
      <c r="Z249" s="18"/>
      <c r="AA249" s="93"/>
      <c r="AB249" s="28" t="s">
        <v>564</v>
      </c>
      <c r="AC249" s="93">
        <v>0.3</v>
      </c>
      <c r="AD249" s="18" t="s">
        <v>528</v>
      </c>
      <c r="AE249" s="93">
        <v>0.7</v>
      </c>
      <c r="AF249" s="18" t="s">
        <v>71</v>
      </c>
      <c r="AG249" s="73" t="s">
        <v>601</v>
      </c>
      <c r="AH249" s="16"/>
    </row>
    <row r="250" spans="1:34">
      <c r="A250" s="51" t="s">
        <v>83</v>
      </c>
      <c r="B250" s="84" t="str">
        <f t="shared" si="7"/>
        <v/>
      </c>
      <c r="C250" s="83"/>
      <c r="D250" s="52" t="s">
        <v>436</v>
      </c>
      <c r="E250" s="52" t="s">
        <v>436</v>
      </c>
      <c r="F250" s="153">
        <v>46908</v>
      </c>
      <c r="G250" s="154" t="s">
        <v>600</v>
      </c>
      <c r="H250" s="29" t="s">
        <v>386</v>
      </c>
      <c r="I250" s="53"/>
      <c r="J250" s="53"/>
      <c r="K250" s="53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97" t="s">
        <v>357</v>
      </c>
      <c r="X250" s="28">
        <v>6</v>
      </c>
      <c r="Y250" s="28"/>
      <c r="Z250" s="18"/>
      <c r="AA250" s="28"/>
      <c r="AB250" s="28" t="s">
        <v>564</v>
      </c>
      <c r="AC250" s="93">
        <v>0.3</v>
      </c>
      <c r="AD250" s="18" t="s">
        <v>528</v>
      </c>
      <c r="AE250" s="93">
        <v>0.7</v>
      </c>
      <c r="AF250" s="18" t="s">
        <v>71</v>
      </c>
      <c r="AG250" s="73" t="s">
        <v>601</v>
      </c>
      <c r="AH250" s="16"/>
    </row>
    <row r="251" spans="1:34" s="4" customFormat="1">
      <c r="A251" s="51" t="s">
        <v>83</v>
      </c>
      <c r="B251" s="84" t="str">
        <f t="shared" si="7"/>
        <v/>
      </c>
      <c r="C251" s="83"/>
      <c r="D251" s="52" t="s">
        <v>436</v>
      </c>
      <c r="E251" s="52" t="s">
        <v>436</v>
      </c>
      <c r="F251" s="86">
        <v>46852</v>
      </c>
      <c r="G251" s="87" t="s">
        <v>602</v>
      </c>
      <c r="H251" s="29" t="s">
        <v>298</v>
      </c>
      <c r="I251" s="29"/>
      <c r="J251" s="29"/>
      <c r="K251" s="29"/>
      <c r="L251" s="18"/>
      <c r="M251" s="18"/>
      <c r="N251" s="18"/>
      <c r="O251" s="18"/>
      <c r="P251" s="18"/>
      <c r="Q251" s="18"/>
      <c r="R251" s="18"/>
      <c r="S251" s="78" t="s">
        <v>263</v>
      </c>
      <c r="T251" s="78" t="s">
        <v>99</v>
      </c>
      <c r="U251" s="80" t="s">
        <v>99</v>
      </c>
      <c r="V251" s="18"/>
      <c r="W251" s="18"/>
      <c r="X251" s="28">
        <v>5</v>
      </c>
      <c r="Y251" s="28"/>
      <c r="Z251" s="18"/>
      <c r="AA251" s="93"/>
      <c r="AB251" s="18" t="s">
        <v>603</v>
      </c>
      <c r="AC251" s="93">
        <v>0.25</v>
      </c>
      <c r="AD251" s="18" t="s">
        <v>465</v>
      </c>
      <c r="AE251" s="93">
        <v>0.75</v>
      </c>
      <c r="AF251" s="18" t="s">
        <v>71</v>
      </c>
      <c r="AG251" s="94" t="s">
        <v>183</v>
      </c>
      <c r="AH251" s="16"/>
    </row>
    <row r="252" spans="1:34">
      <c r="A252" s="51" t="s">
        <v>83</v>
      </c>
      <c r="B252" s="84" t="str">
        <f t="shared" si="7"/>
        <v/>
      </c>
      <c r="C252" s="83"/>
      <c r="D252" s="52" t="s">
        <v>436</v>
      </c>
      <c r="E252" s="52" t="s">
        <v>436</v>
      </c>
      <c r="F252" s="153">
        <v>46852</v>
      </c>
      <c r="G252" s="154" t="s">
        <v>602</v>
      </c>
      <c r="H252" s="29" t="s">
        <v>298</v>
      </c>
      <c r="I252" s="53"/>
      <c r="J252" s="53"/>
      <c r="K252" s="53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97" t="s">
        <v>396</v>
      </c>
      <c r="X252" s="28">
        <v>6</v>
      </c>
      <c r="Y252" s="28"/>
      <c r="Z252" s="18"/>
      <c r="AA252" s="28"/>
      <c r="AB252" s="18" t="s">
        <v>603</v>
      </c>
      <c r="AC252" s="93">
        <v>0.25</v>
      </c>
      <c r="AD252" s="18" t="s">
        <v>465</v>
      </c>
      <c r="AE252" s="93">
        <v>0.75</v>
      </c>
      <c r="AF252" s="18" t="s">
        <v>71</v>
      </c>
      <c r="AG252" s="196" t="s">
        <v>183</v>
      </c>
      <c r="AH252" s="16"/>
    </row>
    <row r="253" spans="1:34" s="4" customFormat="1">
      <c r="A253" s="51" t="s">
        <v>83</v>
      </c>
      <c r="B253" s="84" t="str">
        <f t="shared" si="7"/>
        <v/>
      </c>
      <c r="C253" s="83"/>
      <c r="D253" s="52" t="s">
        <v>436</v>
      </c>
      <c r="E253" s="52" t="s">
        <v>436</v>
      </c>
      <c r="F253" s="86">
        <v>47613</v>
      </c>
      <c r="G253" s="87" t="s">
        <v>604</v>
      </c>
      <c r="H253" s="29" t="s">
        <v>161</v>
      </c>
      <c r="I253" s="29"/>
      <c r="J253" s="29"/>
      <c r="K253" s="29"/>
      <c r="L253" s="18"/>
      <c r="M253" s="18"/>
      <c r="N253" s="18"/>
      <c r="O253" s="18"/>
      <c r="P253" s="18"/>
      <c r="Q253" s="18"/>
      <c r="R253" s="18"/>
      <c r="S253" s="18"/>
      <c r="T253" s="18"/>
      <c r="U253" s="80" t="s">
        <v>357</v>
      </c>
      <c r="V253" s="18"/>
      <c r="W253" s="18"/>
      <c r="X253" s="28">
        <v>5</v>
      </c>
      <c r="Y253" s="28"/>
      <c r="Z253" s="74"/>
      <c r="AA253" s="103"/>
      <c r="AB253" s="71" t="s">
        <v>555</v>
      </c>
      <c r="AC253" s="103">
        <v>0.65</v>
      </c>
      <c r="AD253" s="74" t="s">
        <v>465</v>
      </c>
      <c r="AE253" s="103">
        <v>0.35</v>
      </c>
      <c r="AF253" s="18" t="s">
        <v>71</v>
      </c>
      <c r="AG253" s="110" t="s">
        <v>148</v>
      </c>
      <c r="AH253" s="16"/>
    </row>
    <row r="254" spans="1:34">
      <c r="A254" s="51" t="s">
        <v>83</v>
      </c>
      <c r="B254" s="84" t="str">
        <f t="shared" si="7"/>
        <v/>
      </c>
      <c r="C254" s="52"/>
      <c r="D254" s="18"/>
      <c r="E254" s="18"/>
      <c r="F254" s="95">
        <v>41527</v>
      </c>
      <c r="G254" s="96" t="s">
        <v>612</v>
      </c>
      <c r="H254" s="20" t="s">
        <v>580</v>
      </c>
      <c r="I254" s="53"/>
      <c r="J254" s="53"/>
      <c r="K254" s="53"/>
      <c r="L254" s="18"/>
      <c r="M254" s="18"/>
      <c r="N254" s="18"/>
      <c r="O254" s="18"/>
      <c r="P254" s="18"/>
      <c r="Q254" s="18"/>
      <c r="R254" s="18"/>
      <c r="S254" s="78" t="s">
        <v>263</v>
      </c>
      <c r="T254" s="18"/>
      <c r="U254" s="18"/>
      <c r="V254" s="18"/>
      <c r="W254" s="18"/>
      <c r="X254" s="28">
        <v>5</v>
      </c>
      <c r="Y254" s="28"/>
      <c r="Z254" s="18"/>
      <c r="AA254" s="28"/>
      <c r="AB254" s="28"/>
      <c r="AC254" s="28"/>
      <c r="AD254" s="18" t="s">
        <v>613</v>
      </c>
      <c r="AE254" s="98">
        <v>1</v>
      </c>
      <c r="AF254" s="18" t="s">
        <v>71</v>
      </c>
      <c r="AG254" s="99" t="s">
        <v>239</v>
      </c>
      <c r="AH254" s="16"/>
    </row>
    <row r="255" spans="1:34">
      <c r="A255" s="51" t="s">
        <v>83</v>
      </c>
      <c r="B255" s="84" t="str">
        <f t="shared" si="7"/>
        <v/>
      </c>
      <c r="C255" s="52"/>
      <c r="D255" s="18"/>
      <c r="E255" s="18"/>
      <c r="F255" s="95">
        <v>41527</v>
      </c>
      <c r="G255" s="96" t="s">
        <v>612</v>
      </c>
      <c r="H255" s="20" t="s">
        <v>580</v>
      </c>
      <c r="I255" s="53"/>
      <c r="J255" s="53"/>
      <c r="K255" s="53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97">
        <v>1</v>
      </c>
      <c r="X255" s="28">
        <v>6</v>
      </c>
      <c r="Y255" s="28"/>
      <c r="Z255" s="18"/>
      <c r="AA255" s="28"/>
      <c r="AB255" s="28"/>
      <c r="AC255" s="28"/>
      <c r="AD255" s="18" t="s">
        <v>613</v>
      </c>
      <c r="AE255" s="98">
        <v>1</v>
      </c>
      <c r="AF255" s="18" t="s">
        <v>71</v>
      </c>
      <c r="AG255" s="99" t="s">
        <v>239</v>
      </c>
      <c r="AH255" s="16"/>
    </row>
    <row r="256" spans="1:34">
      <c r="A256" s="51" t="s">
        <v>83</v>
      </c>
      <c r="B256" s="84" t="str">
        <f t="shared" si="7"/>
        <v/>
      </c>
      <c r="C256" s="83"/>
      <c r="D256" s="52"/>
      <c r="E256" s="52"/>
      <c r="F256" s="100">
        <v>46817</v>
      </c>
      <c r="G256" s="101" t="s">
        <v>614</v>
      </c>
      <c r="H256" s="29" t="s">
        <v>151</v>
      </c>
      <c r="I256" s="30" t="s">
        <v>99</v>
      </c>
      <c r="J256" s="30" t="s">
        <v>99</v>
      </c>
      <c r="K256" s="30" t="s">
        <v>99</v>
      </c>
      <c r="L256" s="77" t="s">
        <v>99</v>
      </c>
      <c r="M256" s="77" t="s">
        <v>99</v>
      </c>
      <c r="N256" s="81" t="s">
        <v>99</v>
      </c>
      <c r="O256" s="88" t="s">
        <v>99</v>
      </c>
      <c r="P256" s="88" t="s">
        <v>99</v>
      </c>
      <c r="Q256" s="18"/>
      <c r="R256" s="18"/>
      <c r="S256" s="18"/>
      <c r="T256" s="18"/>
      <c r="U256" s="18"/>
      <c r="V256" s="18"/>
      <c r="W256" s="18"/>
      <c r="X256" s="28">
        <v>5</v>
      </c>
      <c r="Y256" s="28"/>
      <c r="Z256" s="74"/>
      <c r="AA256" s="103"/>
      <c r="AB256" s="75" t="s">
        <v>564</v>
      </c>
      <c r="AC256" s="103">
        <v>0.5</v>
      </c>
      <c r="AD256" s="75" t="s">
        <v>465</v>
      </c>
      <c r="AE256" s="109">
        <v>0.5</v>
      </c>
      <c r="AF256" s="18" t="s">
        <v>71</v>
      </c>
      <c r="AG256" s="110" t="s">
        <v>72</v>
      </c>
      <c r="AH256" s="16"/>
    </row>
    <row r="257" spans="1:34">
      <c r="A257" s="51"/>
      <c r="B257" s="84" t="str">
        <f t="shared" si="7"/>
        <v/>
      </c>
      <c r="C257" s="251"/>
      <c r="D257" s="137"/>
      <c r="E257" s="137"/>
      <c r="F257" s="183">
        <v>46867</v>
      </c>
      <c r="G257" s="257" t="s">
        <v>647</v>
      </c>
      <c r="H257" s="59" t="s">
        <v>648</v>
      </c>
      <c r="I257" s="180"/>
      <c r="J257" s="180"/>
      <c r="K257" s="180"/>
      <c r="L257" s="59"/>
      <c r="M257" s="59"/>
      <c r="N257" s="59"/>
      <c r="O257" s="59"/>
      <c r="P257" s="59"/>
      <c r="Q257" s="59"/>
      <c r="R257" s="59"/>
      <c r="S257" s="181" t="s">
        <v>150</v>
      </c>
      <c r="T257" s="181" t="s">
        <v>150</v>
      </c>
      <c r="U257" s="182" t="s">
        <v>150</v>
      </c>
      <c r="V257" s="59"/>
      <c r="W257" s="59"/>
      <c r="X257" s="143">
        <v>5</v>
      </c>
      <c r="Y257" s="143"/>
      <c r="Z257" s="59"/>
      <c r="AA257" s="146"/>
      <c r="AB257" s="143" t="s">
        <v>564</v>
      </c>
      <c r="AC257" s="146">
        <v>0.33329999999999999</v>
      </c>
      <c r="AD257" s="59" t="s">
        <v>81</v>
      </c>
      <c r="AE257" s="146">
        <v>0.66669999999999996</v>
      </c>
      <c r="AF257" s="59" t="s">
        <v>251</v>
      </c>
      <c r="AG257" s="201" t="s">
        <v>151</v>
      </c>
      <c r="AH257" s="16"/>
    </row>
    <row r="258" spans="1:34" s="4" customFormat="1">
      <c r="A258" s="51" t="s">
        <v>83</v>
      </c>
      <c r="B258" s="84" t="str">
        <f t="shared" si="7"/>
        <v/>
      </c>
      <c r="C258" s="83"/>
      <c r="D258" s="52"/>
      <c r="E258" s="52"/>
      <c r="F258" s="100">
        <v>46801</v>
      </c>
      <c r="G258" s="101" t="s">
        <v>615</v>
      </c>
      <c r="H258" s="29" t="s">
        <v>275</v>
      </c>
      <c r="I258" s="29"/>
      <c r="J258" s="29"/>
      <c r="K258" s="29"/>
      <c r="L258" s="18"/>
      <c r="M258" s="18"/>
      <c r="N258" s="18"/>
      <c r="O258" s="18"/>
      <c r="P258" s="18"/>
      <c r="Q258" s="18"/>
      <c r="R258" s="18"/>
      <c r="S258" s="78" t="s">
        <v>150</v>
      </c>
      <c r="T258" s="78" t="s">
        <v>150</v>
      </c>
      <c r="U258" s="80" t="s">
        <v>150</v>
      </c>
      <c r="V258" s="79" t="s">
        <v>99</v>
      </c>
      <c r="W258" s="18"/>
      <c r="X258" s="28">
        <v>5</v>
      </c>
      <c r="Y258" s="28"/>
      <c r="Z258" s="18"/>
      <c r="AA258" s="28"/>
      <c r="AB258" s="18" t="s">
        <v>616</v>
      </c>
      <c r="AC258" s="103">
        <v>0.6</v>
      </c>
      <c r="AD258" s="3" t="s">
        <v>617</v>
      </c>
      <c r="AE258" s="93">
        <v>0.4</v>
      </c>
      <c r="AF258" s="18" t="s">
        <v>71</v>
      </c>
      <c r="AG258" s="110" t="s">
        <v>293</v>
      </c>
      <c r="AH258" s="16"/>
    </row>
    <row r="259" spans="1:34">
      <c r="A259" s="51"/>
      <c r="B259" s="84" t="str">
        <f t="shared" si="7"/>
        <v/>
      </c>
      <c r="C259" s="136"/>
      <c r="D259" s="137"/>
      <c r="E259" s="137"/>
      <c r="F259" s="183">
        <v>46875</v>
      </c>
      <c r="G259" s="206" t="s">
        <v>649</v>
      </c>
      <c r="H259" s="59" t="s">
        <v>648</v>
      </c>
      <c r="I259" s="180"/>
      <c r="J259" s="180"/>
      <c r="K259" s="180"/>
      <c r="L259" s="141" t="s">
        <v>99</v>
      </c>
      <c r="M259" s="141" t="s">
        <v>99</v>
      </c>
      <c r="N259" s="59"/>
      <c r="O259" s="59"/>
      <c r="P259" s="59"/>
      <c r="Q259" s="59"/>
      <c r="R259" s="59"/>
      <c r="S259" s="18"/>
      <c r="T259" s="18"/>
      <c r="U259" s="59"/>
      <c r="V259" s="59"/>
      <c r="W259" s="59"/>
      <c r="X259" s="143">
        <v>5</v>
      </c>
      <c r="Y259" s="143"/>
      <c r="Z259" s="59"/>
      <c r="AA259" s="146"/>
      <c r="AB259" s="143"/>
      <c r="AC259" s="143"/>
      <c r="AD259" s="59" t="s">
        <v>71</v>
      </c>
      <c r="AE259" s="146">
        <v>1</v>
      </c>
      <c r="AF259" s="59" t="s">
        <v>71</v>
      </c>
      <c r="AG259" s="183" t="s">
        <v>648</v>
      </c>
      <c r="AH259" s="16"/>
    </row>
    <row r="260" spans="1:34" s="4" customFormat="1">
      <c r="A260" s="51" t="s">
        <v>83</v>
      </c>
      <c r="B260" s="84" t="str">
        <f t="shared" si="7"/>
        <v/>
      </c>
      <c r="C260" s="52"/>
      <c r="D260" s="18"/>
      <c r="E260" s="18"/>
      <c r="F260" s="100">
        <v>46857</v>
      </c>
      <c r="G260" s="105" t="s">
        <v>618</v>
      </c>
      <c r="H260" s="29" t="s">
        <v>273</v>
      </c>
      <c r="I260" s="53"/>
      <c r="J260" s="53"/>
      <c r="K260" s="53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97" t="s">
        <v>396</v>
      </c>
      <c r="X260" s="28">
        <v>6</v>
      </c>
      <c r="Y260" s="28"/>
      <c r="Z260" s="18"/>
      <c r="AA260" s="28"/>
      <c r="AB260" s="28"/>
      <c r="AC260" s="28"/>
      <c r="AD260" s="18" t="s">
        <v>475</v>
      </c>
      <c r="AE260" s="90">
        <v>1</v>
      </c>
      <c r="AF260" s="18" t="s">
        <v>71</v>
      </c>
      <c r="AG260" s="110" t="s">
        <v>318</v>
      </c>
      <c r="AH260" s="16"/>
    </row>
    <row r="261" spans="1:34">
      <c r="A261" s="134"/>
      <c r="B261" s="84" t="str">
        <f t="shared" si="7"/>
        <v/>
      </c>
      <c r="C261" s="137"/>
      <c r="D261" s="59"/>
      <c r="E261" s="59"/>
      <c r="F261" s="226">
        <v>43525</v>
      </c>
      <c r="G261" s="227" t="s">
        <v>650</v>
      </c>
      <c r="H261" s="270" t="s">
        <v>651</v>
      </c>
      <c r="I261" s="159"/>
      <c r="J261" s="159"/>
      <c r="K261" s="1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228">
        <v>3</v>
      </c>
      <c r="X261" s="143">
        <v>6</v>
      </c>
      <c r="Y261" s="143"/>
      <c r="Z261" s="59"/>
      <c r="AA261" s="143"/>
      <c r="AB261" s="143"/>
      <c r="AC261" s="143"/>
      <c r="AD261" s="18" t="s">
        <v>71</v>
      </c>
      <c r="AE261" s="143"/>
      <c r="AF261" s="18" t="s">
        <v>71</v>
      </c>
      <c r="AG261" s="229"/>
      <c r="AH261" s="16"/>
    </row>
    <row r="262" spans="1:34">
      <c r="A262" s="51" t="s">
        <v>83</v>
      </c>
      <c r="B262" s="84" t="str">
        <f t="shared" si="7"/>
        <v/>
      </c>
      <c r="C262" s="52"/>
      <c r="D262" s="18"/>
      <c r="E262" s="18"/>
      <c r="F262" s="153">
        <v>42523</v>
      </c>
      <c r="G262" s="154" t="s">
        <v>619</v>
      </c>
      <c r="H262" s="29" t="s">
        <v>286</v>
      </c>
      <c r="I262" s="53"/>
      <c r="J262" s="53"/>
      <c r="K262" s="53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97">
        <v>2</v>
      </c>
      <c r="X262" s="28">
        <v>6</v>
      </c>
      <c r="Y262" s="28"/>
      <c r="Z262" s="18"/>
      <c r="AA262" s="28"/>
      <c r="AB262" s="28"/>
      <c r="AC262" s="28"/>
      <c r="AD262" s="18" t="s">
        <v>71</v>
      </c>
      <c r="AE262" s="98"/>
      <c r="AF262" s="18" t="s">
        <v>71</v>
      </c>
      <c r="AG262" s="54"/>
      <c r="AH262" s="76"/>
    </row>
    <row r="263" spans="1:34" ht="13.8">
      <c r="A263" s="134"/>
      <c r="B263" s="84" t="str">
        <f t="shared" si="7"/>
        <v/>
      </c>
      <c r="C263" s="136"/>
      <c r="D263" s="137"/>
      <c r="E263" s="137"/>
      <c r="F263" s="174">
        <v>46990</v>
      </c>
      <c r="G263" s="175" t="s">
        <v>652</v>
      </c>
      <c r="H263" s="180" t="s">
        <v>239</v>
      </c>
      <c r="I263" s="193" t="s">
        <v>99</v>
      </c>
      <c r="J263" s="180"/>
      <c r="K263" s="193" t="s">
        <v>99</v>
      </c>
      <c r="L263" s="59"/>
      <c r="M263" s="141" t="s">
        <v>99</v>
      </c>
      <c r="N263" s="59"/>
      <c r="O263" s="194" t="s">
        <v>182</v>
      </c>
      <c r="P263" s="194" t="s">
        <v>182</v>
      </c>
      <c r="Q263" s="195" t="s">
        <v>99</v>
      </c>
      <c r="R263" s="195" t="s">
        <v>99</v>
      </c>
      <c r="S263" s="59"/>
      <c r="T263" s="59"/>
      <c r="U263" s="59"/>
      <c r="V263" s="59"/>
      <c r="W263" s="59"/>
      <c r="X263" s="143">
        <v>5</v>
      </c>
      <c r="Y263" s="143"/>
      <c r="Z263" s="64" t="s">
        <v>94</v>
      </c>
      <c r="AA263" s="146">
        <v>0.15</v>
      </c>
      <c r="AB263" s="143"/>
      <c r="AC263" s="146"/>
      <c r="AD263" s="59" t="s">
        <v>653</v>
      </c>
      <c r="AE263" s="146">
        <v>1</v>
      </c>
      <c r="AF263" s="59" t="s">
        <v>71</v>
      </c>
      <c r="AG263" s="147" t="s">
        <v>237</v>
      </c>
      <c r="AH263" s="76"/>
    </row>
    <row r="264" spans="1:34" s="4" customFormat="1">
      <c r="A264" s="51"/>
      <c r="B264" s="84" t="str">
        <f t="shared" si="7"/>
        <v/>
      </c>
      <c r="C264" s="136"/>
      <c r="D264" s="52"/>
      <c r="E264" s="52"/>
      <c r="F264" s="139">
        <v>46880</v>
      </c>
      <c r="G264" s="208" t="s">
        <v>654</v>
      </c>
      <c r="H264" s="267" t="s">
        <v>648</v>
      </c>
      <c r="I264" s="62"/>
      <c r="J264" s="62"/>
      <c r="K264" s="62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176" t="s">
        <v>233</v>
      </c>
      <c r="W264" s="59"/>
      <c r="X264" s="143">
        <v>5</v>
      </c>
      <c r="Y264" s="143"/>
      <c r="Z264" s="59"/>
      <c r="AA264" s="146"/>
      <c r="AB264" s="143"/>
      <c r="AC264" s="143"/>
      <c r="AD264" s="59" t="s">
        <v>448</v>
      </c>
      <c r="AE264" s="146">
        <v>1</v>
      </c>
      <c r="AF264" s="18" t="s">
        <v>71</v>
      </c>
      <c r="AG264" s="67" t="s">
        <v>170</v>
      </c>
      <c r="AH264" s="76"/>
    </row>
    <row r="265" spans="1:34" ht="26.4">
      <c r="A265" s="51" t="s">
        <v>83</v>
      </c>
      <c r="B265" s="84" t="str">
        <f t="shared" si="7"/>
        <v/>
      </c>
      <c r="C265" s="83"/>
      <c r="D265" s="52"/>
      <c r="E265" s="52"/>
      <c r="F265" s="100">
        <v>45475</v>
      </c>
      <c r="G265" s="101" t="s">
        <v>620</v>
      </c>
      <c r="H265" s="29" t="s">
        <v>621</v>
      </c>
      <c r="I265" s="29"/>
      <c r="J265" s="29"/>
      <c r="K265" s="30">
        <v>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>
        <v>5</v>
      </c>
      <c r="Y265" s="28"/>
      <c r="Z265" s="18"/>
      <c r="AA265" s="93"/>
      <c r="AB265" s="28" t="s">
        <v>622</v>
      </c>
      <c r="AC265" s="93">
        <v>0.6</v>
      </c>
      <c r="AD265" s="74" t="s">
        <v>623</v>
      </c>
      <c r="AE265" s="93">
        <v>0.4</v>
      </c>
      <c r="AF265" s="18" t="s">
        <v>71</v>
      </c>
      <c r="AG265" s="29" t="s">
        <v>624</v>
      </c>
      <c r="AH265" s="76"/>
    </row>
    <row r="266" spans="1:34" ht="26.4">
      <c r="A266" s="51"/>
      <c r="B266" s="84" t="str">
        <f t="shared" si="7"/>
        <v/>
      </c>
      <c r="C266" s="136"/>
      <c r="D266" s="137"/>
      <c r="E266" s="137"/>
      <c r="F266" s="199">
        <v>46818</v>
      </c>
      <c r="G266" s="200" t="s">
        <v>655</v>
      </c>
      <c r="H266" s="59" t="s">
        <v>648</v>
      </c>
      <c r="I266" s="180"/>
      <c r="J266" s="180"/>
      <c r="K266" s="193" t="s">
        <v>345</v>
      </c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143">
        <v>5</v>
      </c>
      <c r="Y266" s="143"/>
      <c r="Z266" s="59"/>
      <c r="AA266" s="146"/>
      <c r="AB266" s="59"/>
      <c r="AC266" s="146"/>
      <c r="AD266" s="18" t="s">
        <v>71</v>
      </c>
      <c r="AE266" s="18" t="s">
        <v>71</v>
      </c>
      <c r="AF266" s="18" t="s">
        <v>71</v>
      </c>
      <c r="AG266" s="201" t="s">
        <v>648</v>
      </c>
      <c r="AH266" s="76"/>
    </row>
    <row r="267" spans="1:34" ht="26.4">
      <c r="A267" s="51" t="s">
        <v>83</v>
      </c>
      <c r="B267" s="84" t="str">
        <f t="shared" si="7"/>
        <v/>
      </c>
      <c r="C267" s="52"/>
      <c r="D267" s="18"/>
      <c r="E267" s="18"/>
      <c r="F267" s="153">
        <v>42531</v>
      </c>
      <c r="G267" s="154" t="s">
        <v>625</v>
      </c>
      <c r="H267" s="29" t="s">
        <v>626</v>
      </c>
      <c r="I267" s="53"/>
      <c r="J267" s="53"/>
      <c r="K267" s="53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97">
        <v>2</v>
      </c>
      <c r="X267" s="28">
        <v>9</v>
      </c>
      <c r="Y267" s="28"/>
      <c r="Z267" s="18"/>
      <c r="AA267" s="28"/>
      <c r="AB267" s="28" t="s">
        <v>627</v>
      </c>
      <c r="AC267" s="93">
        <v>1</v>
      </c>
      <c r="AD267" s="18" t="s">
        <v>71</v>
      </c>
      <c r="AE267" s="28"/>
      <c r="AF267" s="18" t="s">
        <v>71</v>
      </c>
      <c r="AG267" s="99" t="s">
        <v>628</v>
      </c>
      <c r="AH267" s="16"/>
    </row>
    <row r="268" spans="1:34" s="4" customFormat="1">
      <c r="A268" s="51"/>
      <c r="B268" s="84" t="str">
        <f t="shared" si="7"/>
        <v/>
      </c>
      <c r="C268" s="136"/>
      <c r="D268" s="137"/>
      <c r="E268" s="137"/>
      <c r="F268" s="183">
        <v>46926</v>
      </c>
      <c r="G268" s="206" t="s">
        <v>656</v>
      </c>
      <c r="H268" s="59" t="s">
        <v>651</v>
      </c>
      <c r="I268" s="202"/>
      <c r="J268" s="202"/>
      <c r="K268" s="202"/>
      <c r="L268" s="202"/>
      <c r="M268" s="202"/>
      <c r="N268" s="203"/>
      <c r="O268" s="194" t="s">
        <v>309</v>
      </c>
      <c r="P268" s="194" t="s">
        <v>309</v>
      </c>
      <c r="Q268" s="202"/>
      <c r="R268" s="202"/>
      <c r="S268" s="59"/>
      <c r="T268" s="59"/>
      <c r="U268" s="59"/>
      <c r="V268" s="59"/>
      <c r="W268" s="59"/>
      <c r="X268" s="59">
        <v>5</v>
      </c>
      <c r="Y268" s="59"/>
      <c r="Z268" s="59"/>
      <c r="AA268" s="144"/>
      <c r="AB268" s="59"/>
      <c r="AC268" s="144"/>
      <c r="AD268" s="59" t="s">
        <v>71</v>
      </c>
      <c r="AE268" s="144"/>
      <c r="AF268" s="59"/>
      <c r="AG268" s="183" t="s">
        <v>648</v>
      </c>
      <c r="AH268" s="16"/>
    </row>
    <row r="269" spans="1:34">
      <c r="A269" s="51" t="s">
        <v>83</v>
      </c>
      <c r="B269" s="84" t="str">
        <f t="shared" si="7"/>
        <v/>
      </c>
      <c r="C269" s="52"/>
      <c r="D269" s="18"/>
      <c r="E269" s="18"/>
      <c r="F269" s="153">
        <v>42528</v>
      </c>
      <c r="G269" s="154" t="s">
        <v>629</v>
      </c>
      <c r="H269" s="29" t="s">
        <v>580</v>
      </c>
      <c r="I269" s="53"/>
      <c r="J269" s="53"/>
      <c r="K269" s="53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97">
        <v>2</v>
      </c>
      <c r="X269" s="28">
        <v>6</v>
      </c>
      <c r="Y269" s="28"/>
      <c r="Z269" s="18"/>
      <c r="AA269" s="28"/>
      <c r="AB269" s="28"/>
      <c r="AC269" s="28"/>
      <c r="AD269" s="18" t="s">
        <v>613</v>
      </c>
      <c r="AE269" s="98">
        <v>1</v>
      </c>
      <c r="AF269" s="18" t="s">
        <v>71</v>
      </c>
      <c r="AG269" s="94" t="s">
        <v>386</v>
      </c>
      <c r="AH269" s="16"/>
    </row>
    <row r="270" spans="1:34">
      <c r="A270" s="134"/>
      <c r="B270" s="84" t="str">
        <f t="shared" si="7"/>
        <v/>
      </c>
      <c r="C270" s="136"/>
      <c r="D270" s="137"/>
      <c r="E270" s="137"/>
      <c r="F270" s="139">
        <v>46906</v>
      </c>
      <c r="G270" s="140" t="s">
        <v>657</v>
      </c>
      <c r="H270" s="137" t="s">
        <v>658</v>
      </c>
      <c r="I270" s="137"/>
      <c r="J270" s="137"/>
      <c r="K270" s="137"/>
      <c r="L270" s="59"/>
      <c r="M270" s="59"/>
      <c r="N270" s="142" t="s">
        <v>99</v>
      </c>
      <c r="O270" s="59"/>
      <c r="P270" s="59"/>
      <c r="Q270" s="59"/>
      <c r="R270" s="59"/>
      <c r="S270" s="59"/>
      <c r="T270" s="59"/>
      <c r="U270" s="59"/>
      <c r="V270" s="59"/>
      <c r="W270" s="59"/>
      <c r="X270" s="143">
        <v>5</v>
      </c>
      <c r="Y270" s="143"/>
      <c r="Z270" s="59"/>
      <c r="AA270" s="146"/>
      <c r="AB270" s="143"/>
      <c r="AC270" s="143"/>
      <c r="AD270" s="59" t="s">
        <v>115</v>
      </c>
      <c r="AE270" s="146">
        <v>1</v>
      </c>
      <c r="AF270" s="59" t="s">
        <v>71</v>
      </c>
      <c r="AG270" s="147" t="s">
        <v>237</v>
      </c>
      <c r="AH270" s="16"/>
    </row>
    <row r="271" spans="1:34" s="4" customFormat="1">
      <c r="A271" s="134"/>
      <c r="B271" s="84" t="str">
        <f t="shared" si="7"/>
        <v/>
      </c>
      <c r="C271" s="136"/>
      <c r="D271" s="137"/>
      <c r="E271" s="137"/>
      <c r="F271" s="190">
        <v>46917</v>
      </c>
      <c r="G271" s="191" t="s">
        <v>659</v>
      </c>
      <c r="H271" s="180" t="s">
        <v>239</v>
      </c>
      <c r="I271" s="180"/>
      <c r="J271" s="180"/>
      <c r="K271" s="180"/>
      <c r="L271" s="59"/>
      <c r="M271" s="59"/>
      <c r="N271" s="59"/>
      <c r="O271" s="59"/>
      <c r="P271" s="59"/>
      <c r="Q271" s="59"/>
      <c r="R271" s="59"/>
      <c r="S271" s="181" t="s">
        <v>263</v>
      </c>
      <c r="T271" s="181" t="s">
        <v>99</v>
      </c>
      <c r="U271" s="59"/>
      <c r="V271" s="176" t="s">
        <v>99</v>
      </c>
      <c r="W271" s="59"/>
      <c r="X271" s="143">
        <v>5</v>
      </c>
      <c r="Y271" s="143"/>
      <c r="Z271" s="59"/>
      <c r="AA271" s="146"/>
      <c r="AB271" s="143" t="s">
        <v>660</v>
      </c>
      <c r="AC271" s="146">
        <v>0.3</v>
      </c>
      <c r="AD271" s="59" t="s">
        <v>653</v>
      </c>
      <c r="AE271" s="146">
        <v>0.7</v>
      </c>
      <c r="AF271" s="59" t="s">
        <v>71</v>
      </c>
      <c r="AG271" s="192" t="s">
        <v>661</v>
      </c>
      <c r="AH271" s="16"/>
    </row>
    <row r="272" spans="1:34" s="4" customFormat="1" ht="26.4">
      <c r="A272" s="134"/>
      <c r="B272" s="135"/>
      <c r="C272" s="136"/>
      <c r="D272" s="137"/>
      <c r="E272" s="137"/>
      <c r="F272" s="174">
        <v>46865</v>
      </c>
      <c r="G272" s="175" t="s">
        <v>662</v>
      </c>
      <c r="H272" s="180" t="s">
        <v>72</v>
      </c>
      <c r="I272" s="180"/>
      <c r="J272" s="180"/>
      <c r="K272" s="180"/>
      <c r="L272" s="59"/>
      <c r="M272" s="59"/>
      <c r="N272" s="59"/>
      <c r="O272" s="59"/>
      <c r="P272" s="59"/>
      <c r="Q272" s="59"/>
      <c r="R272" s="59"/>
      <c r="S272" s="181" t="s">
        <v>150</v>
      </c>
      <c r="T272" s="181" t="s">
        <v>150</v>
      </c>
      <c r="U272" s="182" t="s">
        <v>150</v>
      </c>
      <c r="V272" s="59"/>
      <c r="W272" s="59"/>
      <c r="X272" s="143">
        <v>5</v>
      </c>
      <c r="Y272" s="143"/>
      <c r="Z272" s="59"/>
      <c r="AA272" s="146"/>
      <c r="AB272" s="143" t="s">
        <v>663</v>
      </c>
      <c r="AC272" s="146">
        <v>0.3</v>
      </c>
      <c r="AD272" s="59" t="s">
        <v>664</v>
      </c>
      <c r="AE272" s="146">
        <v>0.7</v>
      </c>
      <c r="AF272" s="59" t="s">
        <v>71</v>
      </c>
      <c r="AG272" s="147" t="s">
        <v>151</v>
      </c>
      <c r="AH272" s="58"/>
    </row>
    <row r="273" spans="1:34">
      <c r="A273" s="51" t="s">
        <v>83</v>
      </c>
      <c r="B273" s="84" t="str">
        <f t="shared" ref="B273:B307" si="8">IF(C273="","",C273)</f>
        <v/>
      </c>
      <c r="C273" s="52"/>
      <c r="D273" s="18"/>
      <c r="E273" s="18"/>
      <c r="F273" s="153">
        <v>46911</v>
      </c>
      <c r="G273" s="154" t="s">
        <v>417</v>
      </c>
      <c r="H273" s="29" t="s">
        <v>243</v>
      </c>
      <c r="I273" s="53"/>
      <c r="J273" s="53"/>
      <c r="K273" s="53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97" t="s">
        <v>233</v>
      </c>
      <c r="X273" s="28">
        <v>6</v>
      </c>
      <c r="Y273" s="28"/>
      <c r="Z273" s="18"/>
      <c r="AA273" s="28"/>
      <c r="AB273" s="28"/>
      <c r="AC273" s="28"/>
      <c r="AD273" s="18" t="s">
        <v>71</v>
      </c>
      <c r="AE273" s="28"/>
      <c r="AF273" s="18" t="s">
        <v>71</v>
      </c>
      <c r="AG273" s="110" t="s">
        <v>188</v>
      </c>
      <c r="AH273" s="16"/>
    </row>
    <row r="274" spans="1:34" ht="26.4">
      <c r="A274" s="51" t="s">
        <v>83</v>
      </c>
      <c r="B274" s="84" t="str">
        <f t="shared" si="8"/>
        <v/>
      </c>
      <c r="C274" s="52"/>
      <c r="D274" s="18"/>
      <c r="E274" s="18"/>
      <c r="F274" s="95">
        <v>41521</v>
      </c>
      <c r="G274" s="96" t="s">
        <v>630</v>
      </c>
      <c r="H274" s="20" t="s">
        <v>181</v>
      </c>
      <c r="I274" s="53"/>
      <c r="J274" s="53"/>
      <c r="K274" s="53"/>
      <c r="L274" s="18"/>
      <c r="M274" s="18"/>
      <c r="N274" s="18"/>
      <c r="O274" s="18"/>
      <c r="P274" s="18"/>
      <c r="Q274" s="18"/>
      <c r="R274" s="18"/>
      <c r="S274" s="78" t="s">
        <v>263</v>
      </c>
      <c r="T274" s="18"/>
      <c r="U274" s="18"/>
      <c r="V274" s="18"/>
      <c r="W274" s="18"/>
      <c r="X274" s="28">
        <v>5</v>
      </c>
      <c r="Y274" s="28"/>
      <c r="Z274" s="18" t="s">
        <v>12</v>
      </c>
      <c r="AA274" s="28"/>
      <c r="AB274" s="28"/>
      <c r="AC274" s="28"/>
      <c r="AD274" s="18" t="s">
        <v>465</v>
      </c>
      <c r="AE274" s="98">
        <v>1</v>
      </c>
      <c r="AF274" s="18" t="s">
        <v>631</v>
      </c>
      <c r="AG274" s="246" t="s">
        <v>632</v>
      </c>
      <c r="AH274" s="16"/>
    </row>
    <row r="275" spans="1:34" ht="26.4">
      <c r="A275" s="51" t="s">
        <v>83</v>
      </c>
      <c r="B275" s="84" t="str">
        <f t="shared" si="8"/>
        <v/>
      </c>
      <c r="C275" s="52"/>
      <c r="D275" s="18"/>
      <c r="E275" s="18"/>
      <c r="F275" s="95">
        <v>41521</v>
      </c>
      <c r="G275" s="96" t="s">
        <v>630</v>
      </c>
      <c r="H275" s="20" t="s">
        <v>181</v>
      </c>
      <c r="I275" s="53"/>
      <c r="J275" s="53"/>
      <c r="K275" s="53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97">
        <v>1</v>
      </c>
      <c r="X275" s="28">
        <v>6</v>
      </c>
      <c r="Y275" s="28"/>
      <c r="Z275" s="18" t="s">
        <v>12</v>
      </c>
      <c r="AA275" s="28"/>
      <c r="AB275" s="28"/>
      <c r="AC275" s="28"/>
      <c r="AD275" s="18" t="s">
        <v>465</v>
      </c>
      <c r="AE275" s="98">
        <v>1</v>
      </c>
      <c r="AF275" s="18" t="s">
        <v>71</v>
      </c>
      <c r="AG275" s="246" t="s">
        <v>632</v>
      </c>
      <c r="AH275" s="16"/>
    </row>
    <row r="276" spans="1:34">
      <c r="A276" s="51"/>
      <c r="B276" s="84" t="str">
        <f t="shared" si="8"/>
        <v/>
      </c>
      <c r="C276" s="136"/>
      <c r="D276" s="137"/>
      <c r="E276" s="137"/>
      <c r="F276" s="139">
        <v>46878</v>
      </c>
      <c r="G276" s="140" t="s">
        <v>665</v>
      </c>
      <c r="H276" s="180" t="s">
        <v>188</v>
      </c>
      <c r="I276" s="193" t="s">
        <v>99</v>
      </c>
      <c r="J276" s="193" t="s">
        <v>99</v>
      </c>
      <c r="K276" s="193" t="s">
        <v>99</v>
      </c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143">
        <v>5</v>
      </c>
      <c r="Y276" s="143"/>
      <c r="Z276" s="59"/>
      <c r="AA276" s="146"/>
      <c r="AB276" s="143" t="s">
        <v>608</v>
      </c>
      <c r="AC276" s="146">
        <v>0.3</v>
      </c>
      <c r="AD276" s="143" t="s">
        <v>609</v>
      </c>
      <c r="AE276" s="146">
        <v>0.7</v>
      </c>
      <c r="AF276" s="59" t="s">
        <v>610</v>
      </c>
      <c r="AG276" s="201" t="s">
        <v>286</v>
      </c>
      <c r="AH276" s="16"/>
    </row>
    <row r="277" spans="1:34" ht="52.8">
      <c r="A277" s="51" t="s">
        <v>83</v>
      </c>
      <c r="B277" s="84" t="str">
        <f t="shared" si="8"/>
        <v/>
      </c>
      <c r="C277" s="52"/>
      <c r="D277" s="18"/>
      <c r="E277" s="18"/>
      <c r="F277" s="104">
        <v>48202</v>
      </c>
      <c r="G277" s="105" t="s">
        <v>633</v>
      </c>
      <c r="H277" s="29" t="s">
        <v>601</v>
      </c>
      <c r="I277" s="53"/>
      <c r="J277" s="53"/>
      <c r="K277" s="53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97" t="s">
        <v>357</v>
      </c>
      <c r="X277" s="28">
        <v>6</v>
      </c>
      <c r="Y277" s="28"/>
      <c r="Z277" s="18"/>
      <c r="AA277" s="28"/>
      <c r="AB277" s="28"/>
      <c r="AC277" s="28"/>
      <c r="AD277" s="18" t="s">
        <v>634</v>
      </c>
      <c r="AE277" s="93">
        <v>1</v>
      </c>
      <c r="AF277" s="18" t="s">
        <v>71</v>
      </c>
      <c r="AG277" s="94" t="s">
        <v>580</v>
      </c>
      <c r="AH277" s="16"/>
    </row>
    <row r="278" spans="1:34">
      <c r="A278" s="134"/>
      <c r="B278" s="135" t="str">
        <f t="shared" si="8"/>
        <v/>
      </c>
      <c r="C278" s="136"/>
      <c r="D278" s="137"/>
      <c r="E278" s="137"/>
      <c r="F278" s="174">
        <v>46881</v>
      </c>
      <c r="G278" s="175" t="s">
        <v>666</v>
      </c>
      <c r="H278" s="180" t="s">
        <v>255</v>
      </c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176" t="s">
        <v>233</v>
      </c>
      <c r="W278" s="59"/>
      <c r="X278" s="143">
        <v>5</v>
      </c>
      <c r="Y278" s="138"/>
      <c r="Z278" s="138"/>
      <c r="AA278" s="138"/>
      <c r="AB278" s="138" t="s">
        <v>667</v>
      </c>
      <c r="AC278" s="230">
        <v>0.3</v>
      </c>
      <c r="AD278" s="138" t="s">
        <v>81</v>
      </c>
      <c r="AE278" s="230">
        <v>0.7</v>
      </c>
      <c r="AF278" s="138" t="s">
        <v>284</v>
      </c>
      <c r="AG278" s="61" t="s">
        <v>170</v>
      </c>
      <c r="AH278" s="58"/>
    </row>
    <row r="279" spans="1:34">
      <c r="A279" s="51" t="s">
        <v>83</v>
      </c>
      <c r="B279" s="84" t="str">
        <f t="shared" si="8"/>
        <v/>
      </c>
      <c r="C279" s="52"/>
      <c r="D279" s="18"/>
      <c r="E279" s="18"/>
      <c r="F279" s="104">
        <v>46860</v>
      </c>
      <c r="G279" s="105" t="s">
        <v>517</v>
      </c>
      <c r="H279" s="29" t="s">
        <v>214</v>
      </c>
      <c r="I279" s="53"/>
      <c r="J279" s="53"/>
      <c r="K279" s="53"/>
      <c r="L279" s="18"/>
      <c r="M279" s="18"/>
      <c r="N279" s="18"/>
      <c r="O279" s="18"/>
      <c r="P279" s="18"/>
      <c r="Q279" s="18"/>
      <c r="R279" s="18"/>
      <c r="S279" s="3"/>
      <c r="T279" s="18"/>
      <c r="U279" s="18"/>
      <c r="V279" s="18"/>
      <c r="W279" s="97" t="s">
        <v>396</v>
      </c>
      <c r="X279" s="28">
        <v>6</v>
      </c>
      <c r="Y279" s="18"/>
      <c r="Z279" s="18"/>
      <c r="AA279" s="18"/>
      <c r="AB279" s="18" t="s">
        <v>287</v>
      </c>
      <c r="AC279" s="93">
        <v>0.25</v>
      </c>
      <c r="AD279" s="28" t="s">
        <v>465</v>
      </c>
      <c r="AE279" s="93">
        <v>0.75</v>
      </c>
      <c r="AF279" s="18" t="s">
        <v>71</v>
      </c>
      <c r="AG279" s="110" t="s">
        <v>217</v>
      </c>
      <c r="AH279" s="16"/>
    </row>
    <row r="280" spans="1:34">
      <c r="A280" s="51"/>
      <c r="B280" s="84" t="str">
        <f t="shared" si="8"/>
        <v/>
      </c>
      <c r="C280" s="136"/>
      <c r="D280" s="137"/>
      <c r="E280" s="137"/>
      <c r="F280" s="139">
        <v>46923</v>
      </c>
      <c r="G280" s="140" t="s">
        <v>668</v>
      </c>
      <c r="H280" s="59" t="s">
        <v>651</v>
      </c>
      <c r="I280" s="202"/>
      <c r="J280" s="202"/>
      <c r="K280" s="202"/>
      <c r="L280" s="202"/>
      <c r="M280" s="202"/>
      <c r="N280" s="203"/>
      <c r="O280" s="194" t="s">
        <v>309</v>
      </c>
      <c r="P280" s="194" t="s">
        <v>309</v>
      </c>
      <c r="Q280" s="202"/>
      <c r="R280" s="202"/>
      <c r="S280" s="59"/>
      <c r="T280" s="59"/>
      <c r="U280" s="59"/>
      <c r="V280" s="59"/>
      <c r="W280" s="59"/>
      <c r="X280" s="59">
        <v>5</v>
      </c>
      <c r="Y280" s="59"/>
      <c r="Z280" s="59"/>
      <c r="AA280" s="144"/>
      <c r="AB280" s="59"/>
      <c r="AC280" s="144"/>
      <c r="AD280" s="18" t="s">
        <v>71</v>
      </c>
      <c r="AE280" s="18" t="s">
        <v>71</v>
      </c>
      <c r="AF280" s="18" t="s">
        <v>71</v>
      </c>
      <c r="AG280" s="183" t="s">
        <v>648</v>
      </c>
      <c r="AH280" s="16"/>
    </row>
    <row r="281" spans="1:34">
      <c r="A281" s="134"/>
      <c r="B281" s="84" t="str">
        <f t="shared" si="8"/>
        <v/>
      </c>
      <c r="C281" s="136"/>
      <c r="D281" s="137"/>
      <c r="E281" s="137"/>
      <c r="F281" s="174">
        <v>46885</v>
      </c>
      <c r="G281" s="175" t="s">
        <v>669</v>
      </c>
      <c r="H281" s="62" t="s">
        <v>670</v>
      </c>
      <c r="I281" s="62"/>
      <c r="J281" s="62"/>
      <c r="K281" s="62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176" t="s">
        <v>99</v>
      </c>
      <c r="W281" s="59"/>
      <c r="X281" s="143">
        <v>5</v>
      </c>
      <c r="Y281" s="59"/>
      <c r="Z281" s="59"/>
      <c r="AA281" s="144"/>
      <c r="AB281" s="59"/>
      <c r="AC281" s="59"/>
      <c r="AD281" s="59" t="s">
        <v>531</v>
      </c>
      <c r="AE281" s="146">
        <v>1</v>
      </c>
      <c r="AF281" s="59" t="s">
        <v>71</v>
      </c>
      <c r="AG281" s="63" t="s">
        <v>671</v>
      </c>
      <c r="AH281" s="16"/>
    </row>
    <row r="282" spans="1:34">
      <c r="A282" s="51"/>
      <c r="B282" s="84" t="str">
        <f t="shared" si="8"/>
        <v/>
      </c>
      <c r="C282" s="136"/>
      <c r="D282" s="137"/>
      <c r="E282" s="137"/>
      <c r="F282" s="211">
        <v>46924</v>
      </c>
      <c r="G282" s="212" t="s">
        <v>672</v>
      </c>
      <c r="H282" s="59" t="s">
        <v>651</v>
      </c>
      <c r="I282" s="180"/>
      <c r="J282" s="180"/>
      <c r="K282" s="180"/>
      <c r="L282" s="59"/>
      <c r="M282" s="159"/>
      <c r="N282" s="61"/>
      <c r="O282" s="194" t="s">
        <v>309</v>
      </c>
      <c r="P282" s="194" t="s">
        <v>309</v>
      </c>
      <c r="Q282" s="59"/>
      <c r="R282" s="59"/>
      <c r="S282" s="59"/>
      <c r="T282" s="59"/>
      <c r="U282" s="59"/>
      <c r="V282" s="59"/>
      <c r="W282" s="59"/>
      <c r="X282" s="59">
        <v>5</v>
      </c>
      <c r="Y282" s="59"/>
      <c r="Z282" s="59"/>
      <c r="AA282" s="144"/>
      <c r="AB282" s="59"/>
      <c r="AC282" s="59"/>
      <c r="AD282" s="18" t="s">
        <v>71</v>
      </c>
      <c r="AE282" s="18" t="s">
        <v>71</v>
      </c>
      <c r="AF282" s="18" t="s">
        <v>71</v>
      </c>
      <c r="AG282" s="183" t="s">
        <v>648</v>
      </c>
      <c r="AH282" s="16"/>
    </row>
    <row r="283" spans="1:34" ht="26.4">
      <c r="A283" s="51" t="s">
        <v>83</v>
      </c>
      <c r="B283" s="84" t="str">
        <f t="shared" si="8"/>
        <v/>
      </c>
      <c r="C283" s="83"/>
      <c r="D283" s="52"/>
      <c r="E283" s="52"/>
      <c r="F283" s="100">
        <v>43055</v>
      </c>
      <c r="G283" s="101" t="s">
        <v>635</v>
      </c>
      <c r="H283" s="29" t="s">
        <v>636</v>
      </c>
      <c r="I283" s="29"/>
      <c r="J283" s="29"/>
      <c r="K283" s="29"/>
      <c r="L283" s="18"/>
      <c r="M283" s="18"/>
      <c r="N283" s="18"/>
      <c r="O283" s="88" t="s">
        <v>309</v>
      </c>
      <c r="P283" s="88">
        <v>5</v>
      </c>
      <c r="Q283" s="74"/>
      <c r="R283" s="89">
        <v>4</v>
      </c>
      <c r="S283" s="18"/>
      <c r="T283" s="18"/>
      <c r="U283" s="18"/>
      <c r="V283" s="18"/>
      <c r="W283" s="18"/>
      <c r="X283" s="18">
        <v>5</v>
      </c>
      <c r="Y283" s="18"/>
      <c r="Z283" s="18"/>
      <c r="AA283" s="90"/>
      <c r="AB283" s="18"/>
      <c r="AC283" s="90"/>
      <c r="AD283" s="18" t="s">
        <v>465</v>
      </c>
      <c r="AE283" s="90">
        <v>1</v>
      </c>
      <c r="AF283" s="18" t="s">
        <v>71</v>
      </c>
      <c r="AG283" s="110" t="s">
        <v>637</v>
      </c>
      <c r="AH283" s="16"/>
    </row>
    <row r="284" spans="1:34">
      <c r="A284" s="51" t="s">
        <v>83</v>
      </c>
      <c r="B284" s="84" t="str">
        <f t="shared" si="8"/>
        <v/>
      </c>
      <c r="C284" s="83"/>
      <c r="D284" s="52"/>
      <c r="E284" s="52"/>
      <c r="F284" s="104">
        <v>46872</v>
      </c>
      <c r="G284" s="114" t="s">
        <v>638</v>
      </c>
      <c r="H284" s="29" t="s">
        <v>307</v>
      </c>
      <c r="I284" s="29"/>
      <c r="J284" s="29"/>
      <c r="K284" s="29"/>
      <c r="L284" s="18"/>
      <c r="M284" s="18"/>
      <c r="N284" s="18"/>
      <c r="O284" s="18"/>
      <c r="P284" s="18"/>
      <c r="Q284" s="18"/>
      <c r="R284" s="18"/>
      <c r="S284" s="18"/>
      <c r="T284" s="18"/>
      <c r="U284" s="80" t="s">
        <v>397</v>
      </c>
      <c r="V284" s="18"/>
      <c r="W284" s="18"/>
      <c r="X284" s="28">
        <v>5</v>
      </c>
      <c r="Y284" s="28"/>
      <c r="Z284" s="18"/>
      <c r="AA284" s="93"/>
      <c r="AB284" s="28" t="s">
        <v>287</v>
      </c>
      <c r="AC284" s="93">
        <v>0.5</v>
      </c>
      <c r="AD284" s="18" t="s">
        <v>465</v>
      </c>
      <c r="AE284" s="93">
        <v>0.5</v>
      </c>
      <c r="AF284" s="18" t="s">
        <v>71</v>
      </c>
      <c r="AG284" s="110" t="s">
        <v>161</v>
      </c>
      <c r="AH284" s="16"/>
    </row>
    <row r="285" spans="1:34">
      <c r="A285" s="134"/>
      <c r="B285" s="135" t="str">
        <f t="shared" si="8"/>
        <v/>
      </c>
      <c r="C285" s="136"/>
      <c r="D285" s="137"/>
      <c r="E285" s="137"/>
      <c r="F285" s="174">
        <v>48371</v>
      </c>
      <c r="G285" s="175" t="s">
        <v>673</v>
      </c>
      <c r="H285" s="137" t="s">
        <v>561</v>
      </c>
      <c r="I285" s="137"/>
      <c r="J285" s="137"/>
      <c r="K285" s="137"/>
      <c r="L285" s="59"/>
      <c r="M285" s="59"/>
      <c r="N285" s="59"/>
      <c r="O285" s="59"/>
      <c r="P285" s="59"/>
      <c r="Q285" s="195">
        <v>5</v>
      </c>
      <c r="R285" s="195">
        <v>5</v>
      </c>
      <c r="S285" s="59"/>
      <c r="T285" s="59"/>
      <c r="U285" s="59"/>
      <c r="V285" s="59"/>
      <c r="W285" s="59"/>
      <c r="X285" s="143">
        <v>2.5</v>
      </c>
      <c r="Y285" s="59" t="s">
        <v>674</v>
      </c>
      <c r="Z285" s="59"/>
      <c r="AA285" s="144"/>
      <c r="AB285" s="59"/>
      <c r="AC285" s="59"/>
      <c r="AD285" s="59" t="s">
        <v>448</v>
      </c>
      <c r="AE285" s="146">
        <v>1</v>
      </c>
      <c r="AF285" s="59" t="s">
        <v>71</v>
      </c>
      <c r="AG285" s="147" t="s">
        <v>160</v>
      </c>
      <c r="AH285" s="58"/>
    </row>
    <row r="286" spans="1:34">
      <c r="A286" s="51"/>
      <c r="B286" s="84" t="str">
        <f t="shared" si="8"/>
        <v/>
      </c>
      <c r="C286" s="136"/>
      <c r="D286" s="137"/>
      <c r="E286" s="137"/>
      <c r="F286" s="139">
        <v>46835</v>
      </c>
      <c r="G286" s="140" t="s">
        <v>675</v>
      </c>
      <c r="H286" s="59" t="s">
        <v>648</v>
      </c>
      <c r="I286" s="202"/>
      <c r="J286" s="202"/>
      <c r="K286" s="202"/>
      <c r="L286" s="202"/>
      <c r="M286" s="202"/>
      <c r="N286" s="203"/>
      <c r="O286" s="194" t="s">
        <v>309</v>
      </c>
      <c r="P286" s="194">
        <v>7</v>
      </c>
      <c r="Q286" s="202"/>
      <c r="R286" s="202"/>
      <c r="S286" s="59"/>
      <c r="T286" s="59"/>
      <c r="U286" s="59"/>
      <c r="V286" s="59"/>
      <c r="W286" s="59"/>
      <c r="X286" s="59">
        <v>5</v>
      </c>
      <c r="Y286" s="59"/>
      <c r="Z286" s="59"/>
      <c r="AA286" s="144"/>
      <c r="AB286" s="59"/>
      <c r="AC286" s="144"/>
      <c r="AD286" s="59" t="s">
        <v>71</v>
      </c>
      <c r="AE286" s="59" t="s">
        <v>71</v>
      </c>
      <c r="AF286" s="59" t="s">
        <v>71</v>
      </c>
      <c r="AG286" s="183" t="s">
        <v>648</v>
      </c>
      <c r="AH286" s="16"/>
    </row>
    <row r="287" spans="1:34">
      <c r="A287" s="51" t="s">
        <v>83</v>
      </c>
      <c r="B287" s="84" t="str">
        <f t="shared" si="8"/>
        <v/>
      </c>
      <c r="C287" s="52"/>
      <c r="D287" s="18"/>
      <c r="E287" s="18"/>
      <c r="F287" s="95">
        <v>41522</v>
      </c>
      <c r="G287" s="96" t="s">
        <v>639</v>
      </c>
      <c r="H287" s="21" t="s">
        <v>640</v>
      </c>
      <c r="I287" s="53"/>
      <c r="J287" s="53"/>
      <c r="K287" s="53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97">
        <v>1</v>
      </c>
      <c r="X287" s="28">
        <v>3</v>
      </c>
      <c r="Y287" s="28"/>
      <c r="Z287" s="18"/>
      <c r="AA287" s="28"/>
      <c r="AB287" s="28"/>
      <c r="AC287" s="28"/>
      <c r="AD287" s="18" t="s">
        <v>613</v>
      </c>
      <c r="AE287" s="98">
        <v>1</v>
      </c>
      <c r="AF287" s="18" t="s">
        <v>71</v>
      </c>
      <c r="AG287" s="99" t="s">
        <v>580</v>
      </c>
      <c r="AH287" s="16"/>
    </row>
    <row r="288" spans="1:34">
      <c r="A288" s="134"/>
      <c r="B288" s="135" t="str">
        <f t="shared" si="8"/>
        <v/>
      </c>
      <c r="C288" s="136"/>
      <c r="D288" s="137"/>
      <c r="E288" s="137"/>
      <c r="F288" s="139">
        <v>47725</v>
      </c>
      <c r="G288" s="208" t="s">
        <v>676</v>
      </c>
      <c r="H288" s="59" t="s">
        <v>648</v>
      </c>
      <c r="I288" s="180"/>
      <c r="J288" s="180"/>
      <c r="K288" s="180"/>
      <c r="L288" s="59"/>
      <c r="M288" s="59"/>
      <c r="N288" s="59"/>
      <c r="O288" s="59"/>
      <c r="P288" s="59"/>
      <c r="Q288" s="59"/>
      <c r="R288" s="59"/>
      <c r="S288" s="181" t="s">
        <v>150</v>
      </c>
      <c r="T288" s="181" t="s">
        <v>150</v>
      </c>
      <c r="U288" s="182" t="s">
        <v>150</v>
      </c>
      <c r="V288" s="59"/>
      <c r="W288" s="59"/>
      <c r="X288" s="143">
        <v>5</v>
      </c>
      <c r="Y288" s="143"/>
      <c r="Z288" s="59"/>
      <c r="AA288" s="146"/>
      <c r="AB288" s="143"/>
      <c r="AC288" s="143"/>
      <c r="AD288" s="59" t="s">
        <v>115</v>
      </c>
      <c r="AE288" s="146">
        <v>1</v>
      </c>
      <c r="AF288" s="59" t="s">
        <v>147</v>
      </c>
      <c r="AG288" s="147" t="s">
        <v>148</v>
      </c>
      <c r="AH288" s="58"/>
    </row>
    <row r="289" spans="1:34">
      <c r="A289" s="51" t="s">
        <v>83</v>
      </c>
      <c r="B289" s="84" t="str">
        <f t="shared" si="8"/>
        <v/>
      </c>
      <c r="C289" s="83"/>
      <c r="D289" s="52"/>
      <c r="E289" s="52"/>
      <c r="F289" s="100">
        <v>46891</v>
      </c>
      <c r="G289" s="101" t="s">
        <v>641</v>
      </c>
      <c r="H289" s="117" t="s">
        <v>170</v>
      </c>
      <c r="I289" s="117"/>
      <c r="J289" s="117"/>
      <c r="K289" s="117"/>
      <c r="L289" s="18"/>
      <c r="M289" s="18"/>
      <c r="N289" s="81" t="s">
        <v>99</v>
      </c>
      <c r="O289" s="18"/>
      <c r="P289" s="18"/>
      <c r="Q289" s="18"/>
      <c r="R289" s="18"/>
      <c r="S289" s="18"/>
      <c r="T289" s="18"/>
      <c r="U289" s="18"/>
      <c r="V289" s="53"/>
      <c r="W289" s="53"/>
      <c r="X289" s="28">
        <v>5</v>
      </c>
      <c r="Y289" s="91"/>
      <c r="Z289" s="156"/>
      <c r="AA289" s="157"/>
      <c r="AB289" s="74"/>
      <c r="AC289" s="158"/>
      <c r="AD289" s="74" t="s">
        <v>642</v>
      </c>
      <c r="AE289" s="109">
        <v>1</v>
      </c>
      <c r="AF289" s="18" t="s">
        <v>71</v>
      </c>
      <c r="AG289" s="130" t="s">
        <v>95</v>
      </c>
      <c r="AH289" s="16"/>
    </row>
    <row r="290" spans="1:34" ht="26.4">
      <c r="A290" s="134"/>
      <c r="B290" s="84" t="str">
        <f t="shared" si="8"/>
        <v/>
      </c>
      <c r="C290" s="136"/>
      <c r="D290" s="137"/>
      <c r="E290" s="137"/>
      <c r="F290" s="139">
        <v>46897</v>
      </c>
      <c r="G290" s="140" t="s">
        <v>677</v>
      </c>
      <c r="H290" s="59" t="s">
        <v>648</v>
      </c>
      <c r="I290" s="193" t="s">
        <v>99</v>
      </c>
      <c r="J290" s="193" t="s">
        <v>215</v>
      </c>
      <c r="K290" s="193" t="s">
        <v>99</v>
      </c>
      <c r="L290" s="141" t="s">
        <v>99</v>
      </c>
      <c r="M290" s="141" t="s">
        <v>99</v>
      </c>
      <c r="N290" s="159"/>
      <c r="O290" s="194" t="s">
        <v>182</v>
      </c>
      <c r="P290" s="194" t="s">
        <v>182</v>
      </c>
      <c r="Q290" s="195" t="s">
        <v>99</v>
      </c>
      <c r="R290" s="195" t="s">
        <v>99</v>
      </c>
      <c r="S290" s="59"/>
      <c r="T290" s="59"/>
      <c r="U290" s="59"/>
      <c r="V290" s="59"/>
      <c r="W290" s="59"/>
      <c r="X290" s="143">
        <v>5</v>
      </c>
      <c r="Y290" s="143"/>
      <c r="Z290" s="202"/>
      <c r="AA290" s="209"/>
      <c r="AB290" s="210"/>
      <c r="AC290" s="210"/>
      <c r="AD290" s="202" t="s">
        <v>439</v>
      </c>
      <c r="AE290" s="209">
        <v>1</v>
      </c>
      <c r="AF290" s="59" t="s">
        <v>71</v>
      </c>
      <c r="AG290" s="147" t="s">
        <v>286</v>
      </c>
      <c r="AH290" s="16"/>
    </row>
    <row r="291" spans="1:34">
      <c r="A291" s="134"/>
      <c r="B291" s="84" t="str">
        <f t="shared" si="8"/>
        <v/>
      </c>
      <c r="C291" s="137"/>
      <c r="D291" s="59"/>
      <c r="E291" s="59"/>
      <c r="F291" s="248">
        <v>46851</v>
      </c>
      <c r="G291" s="249" t="s">
        <v>678</v>
      </c>
      <c r="H291" s="180" t="s">
        <v>160</v>
      </c>
      <c r="I291" s="159"/>
      <c r="J291" s="159"/>
      <c r="K291" s="1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228" t="s">
        <v>396</v>
      </c>
      <c r="X291" s="143">
        <v>6</v>
      </c>
      <c r="Y291" s="143"/>
      <c r="Z291" s="59"/>
      <c r="AA291" s="143"/>
      <c r="AB291" s="143"/>
      <c r="AC291" s="143"/>
      <c r="AD291" s="18" t="s">
        <v>71</v>
      </c>
      <c r="AE291" s="143"/>
      <c r="AF291" s="18" t="s">
        <v>71</v>
      </c>
      <c r="AG291" s="229"/>
      <c r="AH291" s="16"/>
    </row>
    <row r="292" spans="1:34">
      <c r="A292" s="51"/>
      <c r="B292" s="84" t="str">
        <f t="shared" si="8"/>
        <v/>
      </c>
      <c r="C292" s="136"/>
      <c r="D292" s="137"/>
      <c r="E292" s="137"/>
      <c r="F292" s="174">
        <v>46851</v>
      </c>
      <c r="G292" s="175" t="s">
        <v>679</v>
      </c>
      <c r="H292" s="180" t="s">
        <v>160</v>
      </c>
      <c r="I292" s="180"/>
      <c r="J292" s="180"/>
      <c r="K292" s="180"/>
      <c r="L292" s="59"/>
      <c r="M292" s="59"/>
      <c r="N292" s="59"/>
      <c r="O292" s="59"/>
      <c r="P292" s="59"/>
      <c r="Q292" s="59"/>
      <c r="R292" s="59"/>
      <c r="S292" s="181" t="s">
        <v>99</v>
      </c>
      <c r="T292" s="181" t="s">
        <v>99</v>
      </c>
      <c r="U292" s="182" t="s">
        <v>99</v>
      </c>
      <c r="V292" s="59"/>
      <c r="W292" s="59"/>
      <c r="X292" s="143">
        <v>5</v>
      </c>
      <c r="Y292" s="143"/>
      <c r="Z292" s="59"/>
      <c r="AA292" s="146"/>
      <c r="AB292" s="59" t="s">
        <v>680</v>
      </c>
      <c r="AC292" s="146">
        <v>0.2</v>
      </c>
      <c r="AD292" s="59" t="s">
        <v>465</v>
      </c>
      <c r="AE292" s="146">
        <v>0.8</v>
      </c>
      <c r="AF292" s="18" t="s">
        <v>71</v>
      </c>
      <c r="AG292" s="183" t="s">
        <v>466</v>
      </c>
      <c r="AH292" s="16"/>
    </row>
    <row r="293" spans="1:34">
      <c r="A293" s="51"/>
      <c r="B293" s="84" t="str">
        <f t="shared" si="8"/>
        <v/>
      </c>
      <c r="C293" s="251"/>
      <c r="D293" s="252"/>
      <c r="E293" s="137"/>
      <c r="F293" s="192">
        <v>46840</v>
      </c>
      <c r="G293" s="253" t="s">
        <v>681</v>
      </c>
      <c r="H293" s="59" t="s">
        <v>648</v>
      </c>
      <c r="I293" s="254" t="s">
        <v>99</v>
      </c>
      <c r="J293" s="254" t="s">
        <v>99</v>
      </c>
      <c r="K293" s="254" t="s">
        <v>682</v>
      </c>
      <c r="L293" s="255" t="s">
        <v>99</v>
      </c>
      <c r="M293" s="141" t="s">
        <v>99</v>
      </c>
      <c r="N293" s="137"/>
      <c r="O293" s="137"/>
      <c r="P293" s="137"/>
      <c r="Q293" s="59"/>
      <c r="R293" s="59"/>
      <c r="S293" s="59"/>
      <c r="T293" s="59"/>
      <c r="U293" s="59"/>
      <c r="V293" s="59"/>
      <c r="W293" s="59"/>
      <c r="X293" s="143">
        <v>5</v>
      </c>
      <c r="Y293" s="143"/>
      <c r="Z293" s="59" t="s">
        <v>176</v>
      </c>
      <c r="AA293" s="146">
        <v>0.16</v>
      </c>
      <c r="AB293" s="143"/>
      <c r="AC293" s="143"/>
      <c r="AD293" s="59" t="s">
        <v>115</v>
      </c>
      <c r="AE293" s="146">
        <v>1</v>
      </c>
      <c r="AF293" s="59" t="s">
        <v>251</v>
      </c>
      <c r="AG293" s="183" t="s">
        <v>648</v>
      </c>
      <c r="AH293" s="16"/>
    </row>
    <row r="294" spans="1:34">
      <c r="A294" s="51"/>
      <c r="B294" s="84" t="str">
        <f t="shared" si="8"/>
        <v/>
      </c>
      <c r="C294" s="251"/>
      <c r="D294" s="256"/>
      <c r="E294" s="137"/>
      <c r="F294" s="139">
        <v>46841</v>
      </c>
      <c r="G294" s="140" t="s">
        <v>683</v>
      </c>
      <c r="H294" s="59" t="s">
        <v>648</v>
      </c>
      <c r="I294" s="193" t="s">
        <v>99</v>
      </c>
      <c r="J294" s="193" t="s">
        <v>99</v>
      </c>
      <c r="K294" s="59"/>
      <c r="L294" s="59"/>
      <c r="M294" s="59"/>
      <c r="N294" s="142" t="s">
        <v>99</v>
      </c>
      <c r="O294" s="59"/>
      <c r="P294" s="59"/>
      <c r="Q294" s="195" t="s">
        <v>99</v>
      </c>
      <c r="R294" s="59"/>
      <c r="S294" s="59"/>
      <c r="T294" s="59"/>
      <c r="U294" s="59"/>
      <c r="V294" s="59"/>
      <c r="W294" s="59"/>
      <c r="X294" s="143">
        <v>5</v>
      </c>
      <c r="Y294" s="143"/>
      <c r="Z294" s="59"/>
      <c r="AA294" s="146"/>
      <c r="AB294" s="143"/>
      <c r="AC294" s="143"/>
      <c r="AD294" s="59" t="s">
        <v>115</v>
      </c>
      <c r="AE294" s="146">
        <v>1</v>
      </c>
      <c r="AF294" s="59" t="s">
        <v>684</v>
      </c>
      <c r="AG294" s="183" t="s">
        <v>648</v>
      </c>
      <c r="AH294" s="16"/>
    </row>
    <row r="295" spans="1:34">
      <c r="A295" s="51"/>
      <c r="B295" s="84" t="str">
        <f t="shared" si="8"/>
        <v/>
      </c>
      <c r="C295" s="136"/>
      <c r="D295" s="137"/>
      <c r="E295" s="137"/>
      <c r="F295" s="139">
        <v>46920</v>
      </c>
      <c r="G295" s="140" t="s">
        <v>685</v>
      </c>
      <c r="H295" s="59" t="s">
        <v>648</v>
      </c>
      <c r="I295" s="180"/>
      <c r="J295" s="180"/>
      <c r="K295" s="180"/>
      <c r="L295" s="59"/>
      <c r="M295" s="59"/>
      <c r="N295" s="59"/>
      <c r="O295" s="194">
        <v>7</v>
      </c>
      <c r="P295" s="59"/>
      <c r="Q295" s="59"/>
      <c r="R295" s="59"/>
      <c r="S295" s="59"/>
      <c r="T295" s="59"/>
      <c r="U295" s="59"/>
      <c r="V295" s="59"/>
      <c r="W295" s="59"/>
      <c r="X295" s="143">
        <v>5</v>
      </c>
      <c r="Y295" s="143"/>
      <c r="Z295" s="59"/>
      <c r="AA295" s="146"/>
      <c r="AB295" s="59"/>
      <c r="AC295" s="146"/>
      <c r="AD295" s="59" t="s">
        <v>71</v>
      </c>
      <c r="AE295" s="59" t="s">
        <v>71</v>
      </c>
      <c r="AF295" s="59" t="s">
        <v>71</v>
      </c>
      <c r="AG295" s="183" t="s">
        <v>648</v>
      </c>
      <c r="AH295" s="16"/>
    </row>
    <row r="296" spans="1:34">
      <c r="A296" s="51"/>
      <c r="B296" s="84" t="str">
        <f t="shared" si="8"/>
        <v/>
      </c>
      <c r="C296" s="136"/>
      <c r="D296" s="137"/>
      <c r="E296" s="137"/>
      <c r="F296" s="139">
        <v>43028</v>
      </c>
      <c r="G296" s="140" t="s">
        <v>686</v>
      </c>
      <c r="H296" s="59" t="s">
        <v>648</v>
      </c>
      <c r="I296" s="180"/>
      <c r="J296" s="180"/>
      <c r="K296" s="180"/>
      <c r="L296" s="59"/>
      <c r="M296" s="59"/>
      <c r="N296" s="59"/>
      <c r="O296" s="194">
        <v>7</v>
      </c>
      <c r="P296" s="59"/>
      <c r="Q296" s="59"/>
      <c r="R296" s="59"/>
      <c r="S296" s="59"/>
      <c r="T296" s="59"/>
      <c r="U296" s="59"/>
      <c r="V296" s="59"/>
      <c r="W296" s="59"/>
      <c r="X296" s="143">
        <v>5</v>
      </c>
      <c r="Y296" s="143"/>
      <c r="Z296" s="59"/>
      <c r="AA296" s="146"/>
      <c r="AB296" s="59"/>
      <c r="AC296" s="146"/>
      <c r="AD296" s="59" t="s">
        <v>71</v>
      </c>
      <c r="AE296" s="59" t="s">
        <v>71</v>
      </c>
      <c r="AF296" s="59" t="s">
        <v>71</v>
      </c>
      <c r="AG296" s="183" t="s">
        <v>648</v>
      </c>
      <c r="AH296" s="16"/>
    </row>
    <row r="297" spans="1:34">
      <c r="A297" s="134"/>
      <c r="B297" s="84" t="str">
        <f t="shared" si="8"/>
        <v/>
      </c>
      <c r="C297" s="137"/>
      <c r="D297" s="59"/>
      <c r="E297" s="59"/>
      <c r="F297" s="226">
        <v>43532</v>
      </c>
      <c r="G297" s="227" t="s">
        <v>687</v>
      </c>
      <c r="H297" s="59" t="s">
        <v>651</v>
      </c>
      <c r="I297" s="159"/>
      <c r="J297" s="159"/>
      <c r="K297" s="1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228">
        <v>3</v>
      </c>
      <c r="X297" s="143">
        <v>9</v>
      </c>
      <c r="Y297" s="143"/>
      <c r="Z297" s="59"/>
      <c r="AA297" s="143"/>
      <c r="AB297" s="143"/>
      <c r="AC297" s="143"/>
      <c r="AD297" s="18" t="s">
        <v>71</v>
      </c>
      <c r="AE297" s="143"/>
      <c r="AF297" s="18" t="s">
        <v>71</v>
      </c>
      <c r="AG297" s="229"/>
      <c r="AH297" s="16"/>
    </row>
    <row r="298" spans="1:34">
      <c r="A298" s="51" t="s">
        <v>83</v>
      </c>
      <c r="B298" s="84" t="str">
        <f t="shared" si="8"/>
        <v/>
      </c>
      <c r="C298" s="52"/>
      <c r="D298" s="18"/>
      <c r="E298" s="18"/>
      <c r="F298" s="95">
        <v>41530</v>
      </c>
      <c r="G298" s="96" t="s">
        <v>643</v>
      </c>
      <c r="H298" s="20" t="s">
        <v>239</v>
      </c>
      <c r="I298" s="53"/>
      <c r="J298" s="53"/>
      <c r="K298" s="53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97">
        <v>1</v>
      </c>
      <c r="X298" s="28">
        <v>6</v>
      </c>
      <c r="Y298" s="28"/>
      <c r="Z298" s="18"/>
      <c r="AA298" s="28"/>
      <c r="AB298" s="28" t="s">
        <v>627</v>
      </c>
      <c r="AC298" s="133">
        <v>1</v>
      </c>
      <c r="AD298" s="18" t="s">
        <v>295</v>
      </c>
      <c r="AE298" s="28"/>
      <c r="AF298" s="18" t="s">
        <v>71</v>
      </c>
      <c r="AG298" s="94" t="s">
        <v>386</v>
      </c>
      <c r="AH298" s="16"/>
    </row>
    <row r="299" spans="1:34">
      <c r="A299" s="134"/>
      <c r="B299" s="84" t="str">
        <f t="shared" si="8"/>
        <v/>
      </c>
      <c r="C299" s="136"/>
      <c r="D299" s="137"/>
      <c r="E299" s="137"/>
      <c r="F299" s="183">
        <v>46888</v>
      </c>
      <c r="G299" s="206" t="s">
        <v>688</v>
      </c>
      <c r="H299" s="59" t="s">
        <v>648</v>
      </c>
      <c r="I299" s="59"/>
      <c r="J299" s="59"/>
      <c r="K299" s="59"/>
      <c r="L299" s="141" t="s">
        <v>99</v>
      </c>
      <c r="M299" s="141" t="s">
        <v>99</v>
      </c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143">
        <v>5</v>
      </c>
      <c r="Y299" s="143"/>
      <c r="Z299" s="59"/>
      <c r="AA299" s="146"/>
      <c r="AB299" s="143"/>
      <c r="AC299" s="143"/>
      <c r="AD299" s="59" t="s">
        <v>71</v>
      </c>
      <c r="AE299" s="146">
        <v>1</v>
      </c>
      <c r="AF299" s="59" t="s">
        <v>71</v>
      </c>
      <c r="AG299" s="201" t="s">
        <v>648</v>
      </c>
      <c r="AH299" s="16"/>
    </row>
    <row r="300" spans="1:34" ht="26.4">
      <c r="A300" s="51"/>
      <c r="B300" s="84" t="str">
        <f t="shared" si="8"/>
        <v/>
      </c>
      <c r="C300" s="83"/>
      <c r="D300" s="137"/>
      <c r="E300" s="137"/>
      <c r="F300" s="183">
        <v>46845</v>
      </c>
      <c r="G300" s="206" t="s">
        <v>689</v>
      </c>
      <c r="H300" s="59" t="s">
        <v>648</v>
      </c>
      <c r="I300" s="193" t="s">
        <v>99</v>
      </c>
      <c r="J300" s="193" t="s">
        <v>215</v>
      </c>
      <c r="K300" s="193" t="s">
        <v>99</v>
      </c>
      <c r="L300" s="141" t="s">
        <v>99</v>
      </c>
      <c r="M300" s="141" t="s">
        <v>99</v>
      </c>
      <c r="N300" s="180"/>
      <c r="O300" s="180"/>
      <c r="P300" s="180"/>
      <c r="Q300" s="180"/>
      <c r="R300" s="180"/>
      <c r="S300" s="180"/>
      <c r="T300" s="59"/>
      <c r="U300" s="59" t="s">
        <v>12</v>
      </c>
      <c r="V300" s="59"/>
      <c r="W300" s="59"/>
      <c r="X300" s="143">
        <v>5</v>
      </c>
      <c r="Y300" s="143"/>
      <c r="Z300" s="59"/>
      <c r="AA300" s="146"/>
      <c r="AB300" s="143"/>
      <c r="AC300" s="143"/>
      <c r="AD300" s="59" t="s">
        <v>71</v>
      </c>
      <c r="AE300" s="146">
        <v>1</v>
      </c>
      <c r="AF300" s="59" t="s">
        <v>71</v>
      </c>
      <c r="AG300" s="183" t="s">
        <v>648</v>
      </c>
      <c r="AH300" s="16"/>
    </row>
    <row r="301" spans="1:34">
      <c r="A301" s="51" t="s">
        <v>83</v>
      </c>
      <c r="B301" s="84" t="str">
        <f t="shared" si="8"/>
        <v/>
      </c>
      <c r="C301" s="52"/>
      <c r="D301" s="18"/>
      <c r="E301" s="18"/>
      <c r="F301" s="95">
        <v>41533</v>
      </c>
      <c r="G301" s="96" t="s">
        <v>644</v>
      </c>
      <c r="H301" s="20" t="s">
        <v>239</v>
      </c>
      <c r="I301" s="53"/>
      <c r="J301" s="53"/>
      <c r="K301" s="53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97">
        <v>1</v>
      </c>
      <c r="X301" s="28">
        <v>3</v>
      </c>
      <c r="Y301" s="28"/>
      <c r="Z301" s="18"/>
      <c r="AA301" s="28"/>
      <c r="AB301" s="28" t="s">
        <v>645</v>
      </c>
      <c r="AC301" s="93">
        <v>0.2</v>
      </c>
      <c r="AD301" s="18" t="s">
        <v>613</v>
      </c>
      <c r="AE301" s="98">
        <v>0.8</v>
      </c>
      <c r="AF301" s="18" t="s">
        <v>71</v>
      </c>
      <c r="AG301" s="110" t="s">
        <v>286</v>
      </c>
      <c r="AH301" s="16"/>
    </row>
    <row r="302" spans="1:34">
      <c r="A302" s="134"/>
      <c r="B302" s="84" t="str">
        <f t="shared" si="8"/>
        <v/>
      </c>
      <c r="C302" s="137"/>
      <c r="D302" s="59"/>
      <c r="E302" s="59"/>
      <c r="F302" s="248">
        <v>48209</v>
      </c>
      <c r="G302" s="249" t="s">
        <v>690</v>
      </c>
      <c r="H302" s="59" t="s">
        <v>648</v>
      </c>
      <c r="I302" s="159"/>
      <c r="J302" s="159"/>
      <c r="K302" s="1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228" t="s">
        <v>396</v>
      </c>
      <c r="X302" s="143">
        <v>6</v>
      </c>
      <c r="Y302" s="143"/>
      <c r="Z302" s="59"/>
      <c r="AA302" s="143"/>
      <c r="AB302" s="143"/>
      <c r="AC302" s="143"/>
      <c r="AD302" s="18" t="s">
        <v>71</v>
      </c>
      <c r="AE302" s="143"/>
      <c r="AF302" s="18" t="s">
        <v>71</v>
      </c>
      <c r="AG302" s="229"/>
      <c r="AH302" s="16"/>
    </row>
    <row r="303" spans="1:34">
      <c r="A303" s="51"/>
      <c r="B303" s="84" t="str">
        <f t="shared" si="8"/>
        <v/>
      </c>
      <c r="C303" s="136"/>
      <c r="D303" s="137"/>
      <c r="E303" s="137"/>
      <c r="F303" s="174">
        <v>46925</v>
      </c>
      <c r="G303" s="175" t="s">
        <v>690</v>
      </c>
      <c r="H303" s="59" t="s">
        <v>651</v>
      </c>
      <c r="I303" s="202"/>
      <c r="J303" s="202"/>
      <c r="K303" s="202"/>
      <c r="L303" s="202"/>
      <c r="M303" s="202"/>
      <c r="N303" s="203"/>
      <c r="O303" s="194" t="s">
        <v>309</v>
      </c>
      <c r="P303" s="194" t="s">
        <v>309</v>
      </c>
      <c r="Q303" s="202"/>
      <c r="R303" s="202"/>
      <c r="S303" s="59"/>
      <c r="T303" s="59"/>
      <c r="U303" s="59"/>
      <c r="V303" s="59"/>
      <c r="W303" s="59"/>
      <c r="X303" s="59">
        <v>5</v>
      </c>
      <c r="Y303" s="59"/>
      <c r="Z303" s="59"/>
      <c r="AA303" s="144"/>
      <c r="AB303" s="59"/>
      <c r="AC303" s="144"/>
      <c r="AD303" s="59" t="s">
        <v>71</v>
      </c>
      <c r="AE303" s="144"/>
      <c r="AF303" s="59"/>
      <c r="AG303" s="183" t="s">
        <v>648</v>
      </c>
      <c r="AH303" s="16"/>
    </row>
    <row r="304" spans="1:34">
      <c r="A304" s="51"/>
      <c r="B304" s="84" t="str">
        <f t="shared" si="8"/>
        <v/>
      </c>
      <c r="C304" s="136"/>
      <c r="D304" s="204"/>
      <c r="E304" s="137"/>
      <c r="F304" s="199">
        <v>46838</v>
      </c>
      <c r="G304" s="200" t="s">
        <v>691</v>
      </c>
      <c r="H304" s="59" t="s">
        <v>648</v>
      </c>
      <c r="I304" s="180"/>
      <c r="J304" s="180"/>
      <c r="K304" s="180"/>
      <c r="L304" s="59"/>
      <c r="M304" s="59"/>
      <c r="N304" s="59"/>
      <c r="O304" s="59"/>
      <c r="P304" s="59"/>
      <c r="Q304" s="195" t="s">
        <v>99</v>
      </c>
      <c r="R304" s="195" t="s">
        <v>99</v>
      </c>
      <c r="S304" s="59"/>
      <c r="T304" s="59"/>
      <c r="U304" s="59"/>
      <c r="V304" s="59"/>
      <c r="W304" s="59"/>
      <c r="X304" s="143">
        <v>5</v>
      </c>
      <c r="Y304" s="143"/>
      <c r="Z304" s="59"/>
      <c r="AA304" s="146"/>
      <c r="AB304" s="143"/>
      <c r="AC304" s="143"/>
      <c r="AD304" s="59" t="s">
        <v>71</v>
      </c>
      <c r="AE304" s="146">
        <v>1</v>
      </c>
      <c r="AF304" s="59" t="s">
        <v>71</v>
      </c>
      <c r="AG304" s="201" t="s">
        <v>286</v>
      </c>
      <c r="AH304" s="16"/>
    </row>
    <row r="305" spans="1:34">
      <c r="A305" s="51"/>
      <c r="B305" s="84" t="str">
        <f t="shared" si="8"/>
        <v/>
      </c>
      <c r="C305" s="136"/>
      <c r="D305" s="137"/>
      <c r="E305" s="137"/>
      <c r="F305" s="139">
        <v>41034</v>
      </c>
      <c r="G305" s="140" t="s">
        <v>692</v>
      </c>
      <c r="H305" s="59" t="s">
        <v>648</v>
      </c>
      <c r="I305" s="59"/>
      <c r="J305" s="59"/>
      <c r="K305" s="59"/>
      <c r="L305" s="59"/>
      <c r="M305" s="59"/>
      <c r="N305" s="59"/>
      <c r="O305" s="194">
        <v>7</v>
      </c>
      <c r="P305" s="159"/>
      <c r="Q305" s="59"/>
      <c r="R305" s="59"/>
      <c r="S305" s="59"/>
      <c r="T305" s="59"/>
      <c r="U305" s="59"/>
      <c r="V305" s="59"/>
      <c r="W305" s="59"/>
      <c r="X305" s="143">
        <v>5</v>
      </c>
      <c r="Y305" s="143"/>
      <c r="Z305" s="59"/>
      <c r="AA305" s="146"/>
      <c r="AB305" s="143"/>
      <c r="AC305" s="143"/>
      <c r="AD305" s="59" t="s">
        <v>71</v>
      </c>
      <c r="AE305" s="146"/>
      <c r="AF305" s="59" t="s">
        <v>71</v>
      </c>
      <c r="AG305" s="183" t="s">
        <v>648</v>
      </c>
      <c r="AH305" s="16"/>
    </row>
    <row r="306" spans="1:34">
      <c r="A306" s="134"/>
      <c r="B306" s="84" t="str">
        <f t="shared" si="8"/>
        <v/>
      </c>
      <c r="C306" s="137"/>
      <c r="D306" s="59"/>
      <c r="E306" s="59"/>
      <c r="F306" s="226">
        <v>43529</v>
      </c>
      <c r="G306" s="227" t="s">
        <v>693</v>
      </c>
      <c r="H306" s="59" t="s">
        <v>651</v>
      </c>
      <c r="I306" s="159"/>
      <c r="J306" s="159"/>
      <c r="K306" s="1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228">
        <v>3</v>
      </c>
      <c r="X306" s="143">
        <v>6</v>
      </c>
      <c r="Y306" s="143"/>
      <c r="Z306" s="59"/>
      <c r="AA306" s="143"/>
      <c r="AB306" s="143"/>
      <c r="AC306" s="143"/>
      <c r="AD306" s="18" t="s">
        <v>71</v>
      </c>
      <c r="AE306" s="143"/>
      <c r="AF306" s="18" t="s">
        <v>71</v>
      </c>
      <c r="AG306" s="229"/>
      <c r="AH306" s="16"/>
    </row>
    <row r="307" spans="1:34">
      <c r="A307" s="51"/>
      <c r="B307" s="84" t="str">
        <f t="shared" si="8"/>
        <v/>
      </c>
      <c r="C307" s="136"/>
      <c r="D307" s="137"/>
      <c r="E307" s="137"/>
      <c r="F307" s="183">
        <v>46849</v>
      </c>
      <c r="G307" s="206" t="s">
        <v>694</v>
      </c>
      <c r="H307" s="59" t="s">
        <v>648</v>
      </c>
      <c r="I307" s="193" t="s">
        <v>99</v>
      </c>
      <c r="J307" s="193" t="s">
        <v>99</v>
      </c>
      <c r="K307" s="193" t="s">
        <v>99</v>
      </c>
      <c r="L307" s="59"/>
      <c r="M307" s="141" t="s">
        <v>99</v>
      </c>
      <c r="N307" s="59"/>
      <c r="O307" s="59"/>
      <c r="P307" s="59"/>
      <c r="Q307" s="31" t="s">
        <v>99</v>
      </c>
      <c r="R307" s="31" t="s">
        <v>99</v>
      </c>
      <c r="S307" s="18"/>
      <c r="T307" s="18"/>
      <c r="U307" s="59"/>
      <c r="V307" s="59"/>
      <c r="W307" s="59"/>
      <c r="X307" s="143">
        <v>5</v>
      </c>
      <c r="Y307" s="143"/>
      <c r="Z307" s="259"/>
      <c r="AA307" s="272"/>
      <c r="AB307" s="143"/>
      <c r="AC307" s="143"/>
      <c r="AD307" s="59" t="s">
        <v>71</v>
      </c>
      <c r="AE307" s="146">
        <v>1</v>
      </c>
      <c r="AF307" s="59" t="s">
        <v>71</v>
      </c>
      <c r="AG307" s="201" t="s">
        <v>214</v>
      </c>
      <c r="AH307" s="16"/>
    </row>
    <row r="308" spans="1:34" ht="66">
      <c r="A308" s="134"/>
      <c r="B308" s="135"/>
      <c r="C308" s="136"/>
      <c r="D308" s="137"/>
      <c r="E308" s="137"/>
      <c r="F308" s="139">
        <v>41102</v>
      </c>
      <c r="G308" s="140" t="s">
        <v>605</v>
      </c>
      <c r="H308" s="59" t="s">
        <v>606</v>
      </c>
      <c r="I308" s="59"/>
      <c r="J308" s="59"/>
      <c r="K308" s="59"/>
      <c r="L308" s="141">
        <v>1</v>
      </c>
      <c r="M308" s="141">
        <v>1</v>
      </c>
      <c r="N308" s="142">
        <v>3</v>
      </c>
      <c r="O308" s="59"/>
      <c r="P308" s="59"/>
      <c r="Q308" s="59"/>
      <c r="R308" s="59"/>
      <c r="S308" s="59"/>
      <c r="T308" s="59"/>
      <c r="U308" s="59"/>
      <c r="V308" s="59"/>
      <c r="W308" s="59"/>
      <c r="X308" s="143">
        <v>2.5</v>
      </c>
      <c r="Y308" s="59" t="s">
        <v>530</v>
      </c>
      <c r="Z308" s="260"/>
      <c r="AA308" s="271"/>
      <c r="AB308" s="59" t="s">
        <v>564</v>
      </c>
      <c r="AC308" s="145">
        <v>1</v>
      </c>
      <c r="AD308" s="59" t="s">
        <v>71</v>
      </c>
      <c r="AE308" s="146"/>
      <c r="AF308" s="59" t="s">
        <v>71</v>
      </c>
      <c r="AG308" s="147" t="s">
        <v>160</v>
      </c>
      <c r="AH308" s="58"/>
    </row>
    <row r="309" spans="1:34">
      <c r="A309" s="134"/>
      <c r="B309" s="84" t="str">
        <f>IF(C309="","",C309)</f>
        <v/>
      </c>
      <c r="C309" s="137"/>
      <c r="D309" s="59"/>
      <c r="E309" s="59"/>
      <c r="F309" s="226">
        <v>43526</v>
      </c>
      <c r="G309" s="227" t="s">
        <v>695</v>
      </c>
      <c r="H309" s="59" t="s">
        <v>651</v>
      </c>
      <c r="I309" s="159"/>
      <c r="J309" s="159"/>
      <c r="K309" s="1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228">
        <v>3</v>
      </c>
      <c r="X309" s="143">
        <v>3</v>
      </c>
      <c r="Y309" s="143"/>
      <c r="Z309" s="59"/>
      <c r="AA309" s="143"/>
      <c r="AB309" s="143"/>
      <c r="AC309" s="143"/>
      <c r="AD309" s="18" t="s">
        <v>71</v>
      </c>
      <c r="AE309" s="143"/>
      <c r="AF309" s="18" t="s">
        <v>71</v>
      </c>
      <c r="AG309" s="229"/>
      <c r="AH309" s="16"/>
    </row>
    <row r="310" spans="1:34">
      <c r="A310" s="51" t="s">
        <v>83</v>
      </c>
      <c r="B310" s="84" t="str">
        <f>IF(C310="","",C310)</f>
        <v/>
      </c>
      <c r="C310" s="52"/>
      <c r="D310" s="18"/>
      <c r="E310" s="18"/>
      <c r="F310" s="153">
        <v>42524</v>
      </c>
      <c r="G310" s="154" t="s">
        <v>646</v>
      </c>
      <c r="H310" s="29" t="s">
        <v>580</v>
      </c>
      <c r="I310" s="53"/>
      <c r="J310" s="53"/>
      <c r="K310" s="53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97">
        <v>2</v>
      </c>
      <c r="X310" s="28">
        <v>3</v>
      </c>
      <c r="Y310" s="28"/>
      <c r="Z310" s="18"/>
      <c r="AA310" s="28"/>
      <c r="AB310" s="28"/>
      <c r="AC310" s="28"/>
      <c r="AD310" s="18" t="s">
        <v>613</v>
      </c>
      <c r="AE310" s="98">
        <v>1</v>
      </c>
      <c r="AF310" s="18" t="s">
        <v>71</v>
      </c>
      <c r="AG310" s="94" t="s">
        <v>386</v>
      </c>
      <c r="AH310" s="16"/>
    </row>
    <row r="311" spans="1:34">
      <c r="A311" s="51"/>
      <c r="B311" s="84" t="str">
        <f>IF(C311="","",C311)</f>
        <v/>
      </c>
      <c r="C311" s="136"/>
      <c r="D311" s="207"/>
      <c r="E311" s="137"/>
      <c r="F311" s="183">
        <v>46873</v>
      </c>
      <c r="G311" s="206" t="s">
        <v>696</v>
      </c>
      <c r="H311" s="59" t="s">
        <v>648</v>
      </c>
      <c r="I311" s="180"/>
      <c r="J311" s="180"/>
      <c r="K311" s="180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143">
        <v>5</v>
      </c>
      <c r="Y311" s="143"/>
      <c r="Z311" s="59"/>
      <c r="AA311" s="146"/>
      <c r="AB311" s="143"/>
      <c r="AC311" s="143"/>
      <c r="AD311" s="59" t="s">
        <v>71</v>
      </c>
      <c r="AE311" s="146">
        <v>1</v>
      </c>
      <c r="AF311" s="59" t="s">
        <v>71</v>
      </c>
      <c r="AG311" s="183" t="s">
        <v>648</v>
      </c>
      <c r="AH311" s="16"/>
    </row>
    <row r="312" spans="1:34">
      <c r="A312" s="51"/>
      <c r="B312" s="84" t="str">
        <f>IF(C312="","",C312)</f>
        <v/>
      </c>
      <c r="C312" s="136"/>
      <c r="D312" s="137"/>
      <c r="E312" s="137"/>
      <c r="F312" s="226">
        <v>46861</v>
      </c>
      <c r="G312" s="227" t="s">
        <v>697</v>
      </c>
      <c r="H312" s="242" t="s">
        <v>344</v>
      </c>
      <c r="I312" s="180"/>
      <c r="J312" s="180"/>
      <c r="K312" s="180"/>
      <c r="L312" s="59"/>
      <c r="M312" s="59"/>
      <c r="N312" s="59"/>
      <c r="O312" s="59"/>
      <c r="P312" s="59"/>
      <c r="Q312" s="59"/>
      <c r="R312" s="59"/>
      <c r="S312" s="181" t="s">
        <v>263</v>
      </c>
      <c r="T312" s="181" t="s">
        <v>99</v>
      </c>
      <c r="U312" s="182" t="s">
        <v>99</v>
      </c>
      <c r="V312" s="59"/>
      <c r="W312" s="59"/>
      <c r="X312" s="143">
        <v>5</v>
      </c>
      <c r="Y312" s="143"/>
      <c r="Z312" s="59"/>
      <c r="AA312" s="146"/>
      <c r="AB312" s="143" t="s">
        <v>698</v>
      </c>
      <c r="AC312" s="146">
        <v>0.25</v>
      </c>
      <c r="AD312" s="59" t="s">
        <v>465</v>
      </c>
      <c r="AE312" s="146">
        <v>0.75</v>
      </c>
      <c r="AF312" s="59" t="s">
        <v>71</v>
      </c>
      <c r="AG312" s="183" t="s">
        <v>699</v>
      </c>
      <c r="AH312" s="16"/>
    </row>
    <row r="313" spans="1:34">
      <c r="A313" s="51"/>
      <c r="B313" s="84" t="str">
        <f>IF(C313="","",C313)</f>
        <v/>
      </c>
      <c r="C313" s="136"/>
      <c r="D313" s="137"/>
      <c r="E313" s="137"/>
      <c r="F313" s="183">
        <v>46856</v>
      </c>
      <c r="G313" s="206" t="s">
        <v>700</v>
      </c>
      <c r="H313" s="59" t="s">
        <v>648</v>
      </c>
      <c r="I313" s="180"/>
      <c r="J313" s="180"/>
      <c r="K313" s="180"/>
      <c r="L313" s="59"/>
      <c r="M313" s="59"/>
      <c r="N313" s="59"/>
      <c r="O313" s="59"/>
      <c r="P313" s="59"/>
      <c r="Q313" s="31" t="s">
        <v>99</v>
      </c>
      <c r="R313" s="31" t="s">
        <v>99</v>
      </c>
      <c r="S313" s="18"/>
      <c r="T313" s="18"/>
      <c r="U313" s="59"/>
      <c r="V313" s="59"/>
      <c r="W313" s="59"/>
      <c r="X313" s="143">
        <v>5</v>
      </c>
      <c r="Y313" s="143"/>
      <c r="Z313" s="59"/>
      <c r="AA313" s="146"/>
      <c r="AB313" s="143"/>
      <c r="AC313" s="143"/>
      <c r="AD313" s="59" t="s">
        <v>71</v>
      </c>
      <c r="AE313" s="146">
        <v>1</v>
      </c>
      <c r="AF313" s="59" t="s">
        <v>71</v>
      </c>
      <c r="AG313" s="183" t="s">
        <v>648</v>
      </c>
      <c r="AH313" s="16"/>
    </row>
    <row r="314" spans="1:34">
      <c r="A314" s="134"/>
      <c r="B314" s="135"/>
      <c r="C314" s="136"/>
      <c r="D314" s="137"/>
      <c r="E314" s="137"/>
      <c r="F314" s="174"/>
      <c r="G314" s="175"/>
      <c r="H314" s="180"/>
      <c r="I314" s="180"/>
      <c r="J314" s="180"/>
      <c r="K314" s="180"/>
      <c r="L314" s="59"/>
      <c r="M314" s="59"/>
      <c r="N314" s="59"/>
      <c r="O314" s="59"/>
      <c r="P314" s="59"/>
      <c r="Q314" s="59"/>
      <c r="R314" s="59"/>
      <c r="S314" s="181"/>
      <c r="T314" s="181"/>
      <c r="U314" s="182"/>
      <c r="V314" s="59"/>
      <c r="W314" s="59"/>
      <c r="X314" s="143"/>
      <c r="Y314" s="143"/>
      <c r="Z314" s="59"/>
      <c r="AA314" s="146"/>
      <c r="AB314" s="143"/>
      <c r="AC314" s="146"/>
      <c r="AD314" s="59"/>
      <c r="AE314" s="146"/>
      <c r="AF314" s="59"/>
      <c r="AG314" s="147"/>
      <c r="AH314" s="58"/>
    </row>
    <row r="315" spans="1:34">
      <c r="A315" s="1"/>
      <c r="D315" s="10"/>
    </row>
    <row r="316" spans="1:34">
      <c r="A316" s="1"/>
      <c r="D316" s="10"/>
    </row>
    <row r="317" spans="1:34">
      <c r="A317" s="1"/>
      <c r="D317" s="10"/>
    </row>
    <row r="318" spans="1:34">
      <c r="A318" s="1"/>
      <c r="D318" s="10"/>
    </row>
    <row r="319" spans="1:34">
      <c r="A319" s="1"/>
      <c r="D319" s="10"/>
    </row>
    <row r="320" spans="1:34">
      <c r="A320" s="1"/>
      <c r="D320" s="10"/>
    </row>
    <row r="321" spans="1:33">
      <c r="A321" s="1"/>
      <c r="D321" s="10"/>
    </row>
    <row r="322" spans="1:33">
      <c r="A322" s="1"/>
      <c r="D322" s="10"/>
    </row>
    <row r="323" spans="1:33">
      <c r="A323" s="1"/>
      <c r="D323" s="10"/>
    </row>
    <row r="324" spans="1:33">
      <c r="A324" s="1"/>
      <c r="D324" s="10"/>
    </row>
    <row r="325" spans="1:33">
      <c r="A325" s="1"/>
      <c r="D325" s="10"/>
      <c r="AG325" s="9" t="s">
        <v>12</v>
      </c>
    </row>
    <row r="326" spans="1:33">
      <c r="A326" s="1"/>
      <c r="D326" s="10"/>
      <c r="I326" s="1" t="s">
        <v>12</v>
      </c>
    </row>
    <row r="327" spans="1:33">
      <c r="A327" s="1"/>
      <c r="D327" s="10"/>
    </row>
    <row r="328" spans="1:33">
      <c r="A328" s="1"/>
      <c r="D328" s="10"/>
      <c r="O328" s="1" t="s">
        <v>12</v>
      </c>
    </row>
    <row r="329" spans="1:33">
      <c r="A329" s="1"/>
      <c r="D329" s="10"/>
    </row>
    <row r="330" spans="1:33">
      <c r="A330" s="1"/>
      <c r="D330" s="10"/>
    </row>
    <row r="331" spans="1:33">
      <c r="A331" s="1"/>
      <c r="D331" s="10"/>
    </row>
    <row r="332" spans="1:33">
      <c r="A332" s="1"/>
      <c r="D332" s="10"/>
    </row>
    <row r="333" spans="1:33">
      <c r="A333" s="1"/>
      <c r="D333" s="10"/>
    </row>
    <row r="334" spans="1:33">
      <c r="A334" s="1"/>
      <c r="D334" s="10"/>
    </row>
    <row r="335" spans="1:33">
      <c r="A335" s="1"/>
      <c r="D335" s="10"/>
    </row>
    <row r="336" spans="1:33">
      <c r="A336" s="1"/>
      <c r="D336" s="10"/>
    </row>
    <row r="337" spans="1:4">
      <c r="A337" s="1"/>
      <c r="D337" s="10"/>
    </row>
    <row r="338" spans="1:4">
      <c r="A338" s="1"/>
      <c r="D338" s="10"/>
    </row>
    <row r="339" spans="1:4">
      <c r="A339" s="1"/>
      <c r="D339" s="10"/>
    </row>
    <row r="340" spans="1:4">
      <c r="A340" s="1"/>
      <c r="D340" s="10"/>
    </row>
    <row r="341" spans="1:4">
      <c r="A341" s="1"/>
      <c r="D341" s="10"/>
    </row>
    <row r="342" spans="1:4">
      <c r="A342" s="1"/>
      <c r="D342" s="10"/>
    </row>
    <row r="343" spans="1:4">
      <c r="A343" s="1"/>
      <c r="D343" s="10"/>
    </row>
    <row r="344" spans="1:4">
      <c r="A344" s="1"/>
      <c r="D344" s="10"/>
    </row>
    <row r="345" spans="1:4">
      <c r="A345" s="1"/>
      <c r="D345" s="10"/>
    </row>
    <row r="346" spans="1:4">
      <c r="A346" s="1"/>
      <c r="D346" s="10"/>
    </row>
    <row r="347" spans="1:4">
      <c r="A347" s="1"/>
      <c r="D347" s="10"/>
    </row>
    <row r="348" spans="1:4">
      <c r="A348" s="1"/>
      <c r="D348" s="10"/>
    </row>
    <row r="349" spans="1:4">
      <c r="A349" s="1"/>
      <c r="D349" s="10"/>
    </row>
    <row r="350" spans="1:4">
      <c r="A350" s="1"/>
      <c r="D350" s="10"/>
    </row>
    <row r="351" spans="1:4">
      <c r="A351" s="1"/>
      <c r="D351" s="10"/>
    </row>
    <row r="352" spans="1:4">
      <c r="A352" s="1"/>
      <c r="D352" s="10"/>
    </row>
    <row r="353" spans="1:34">
      <c r="A353" s="1"/>
      <c r="D353" s="10"/>
    </row>
    <row r="354" spans="1:34">
      <c r="A354" s="1"/>
      <c r="D354" s="10"/>
    </row>
    <row r="355" spans="1:34">
      <c r="A355" s="1"/>
      <c r="D355" s="10"/>
    </row>
    <row r="356" spans="1:34">
      <c r="A356" s="1"/>
      <c r="D356" s="10"/>
    </row>
    <row r="357" spans="1:34">
      <c r="A357" s="1"/>
      <c r="D357" s="10"/>
    </row>
    <row r="358" spans="1:34">
      <c r="A358" s="1"/>
      <c r="D358" s="10"/>
    </row>
    <row r="359" spans="1:34">
      <c r="A359" s="1"/>
      <c r="D359" s="10"/>
    </row>
    <row r="360" spans="1:34">
      <c r="A360" s="1"/>
      <c r="D360" s="10"/>
    </row>
    <row r="361" spans="1:34">
      <c r="A361" s="1"/>
      <c r="D361" s="10"/>
      <c r="AG361" s="1"/>
      <c r="AH361" s="1"/>
    </row>
    <row r="362" spans="1:34">
      <c r="A362" s="1"/>
      <c r="D362" s="10"/>
      <c r="AG362" s="1"/>
      <c r="AH362" s="1"/>
    </row>
    <row r="363" spans="1:34">
      <c r="A363" s="1"/>
      <c r="D363" s="10"/>
      <c r="AG363" s="1"/>
      <c r="AH363" s="1"/>
    </row>
    <row r="364" spans="1:34">
      <c r="A364" s="1"/>
      <c r="D364" s="10"/>
      <c r="AG364" s="1"/>
      <c r="AH364" s="1"/>
    </row>
    <row r="365" spans="1:34">
      <c r="A365" s="1"/>
      <c r="D365" s="10"/>
      <c r="AG365" s="1"/>
      <c r="AH365" s="1"/>
    </row>
    <row r="366" spans="1:34">
      <c r="A366" s="1"/>
      <c r="D366" s="10"/>
      <c r="AG366" s="1"/>
      <c r="AH366" s="1"/>
    </row>
    <row r="367" spans="1:34">
      <c r="A367" s="1"/>
      <c r="D367" s="10"/>
      <c r="AG367" s="1"/>
      <c r="AH367" s="1"/>
    </row>
    <row r="368" spans="1:34">
      <c r="A368" s="1"/>
      <c r="D368" s="10"/>
      <c r="AG368" s="1"/>
      <c r="AH368" s="1"/>
    </row>
    <row r="369" spans="1:34">
      <c r="A369" s="1"/>
      <c r="D369" s="10"/>
      <c r="AG369" s="1"/>
      <c r="AH369" s="1"/>
    </row>
    <row r="370" spans="1:34">
      <c r="A370" s="1"/>
      <c r="D370" s="10"/>
      <c r="AG370" s="1"/>
      <c r="AH370" s="1"/>
    </row>
    <row r="371" spans="1:34">
      <c r="A371" s="1"/>
      <c r="D371" s="10"/>
      <c r="AG371" s="1"/>
      <c r="AH371" s="1"/>
    </row>
    <row r="372" spans="1:34">
      <c r="A372" s="1"/>
      <c r="D372" s="10"/>
      <c r="AG372" s="1"/>
      <c r="AH372" s="1"/>
    </row>
    <row r="373" spans="1:34">
      <c r="A373" s="1"/>
      <c r="D373" s="10"/>
      <c r="AG373" s="1"/>
      <c r="AH373" s="1"/>
    </row>
    <row r="374" spans="1:34">
      <c r="A374" s="1"/>
      <c r="D374" s="10"/>
      <c r="AG374" s="1"/>
      <c r="AH374" s="1"/>
    </row>
    <row r="375" spans="1:34">
      <c r="A375" s="1"/>
      <c r="D375" s="10"/>
      <c r="AG375" s="1"/>
      <c r="AH375" s="1"/>
    </row>
    <row r="376" spans="1:34">
      <c r="A376" s="1"/>
      <c r="D376" s="10"/>
      <c r="AG376" s="1"/>
      <c r="AH376" s="1"/>
    </row>
    <row r="377" spans="1:34">
      <c r="A377" s="1"/>
      <c r="D377" s="10"/>
      <c r="AG377" s="1"/>
      <c r="AH377" s="1"/>
    </row>
    <row r="378" spans="1:34">
      <c r="A378" s="1"/>
      <c r="D378" s="10"/>
      <c r="AG378" s="1"/>
      <c r="AH378" s="1"/>
    </row>
    <row r="379" spans="1:34">
      <c r="A379" s="1"/>
      <c r="D379" s="10"/>
      <c r="AG379" s="1"/>
      <c r="AH379" s="1"/>
    </row>
    <row r="380" spans="1:34">
      <c r="A380" s="1"/>
      <c r="D380" s="10"/>
      <c r="AG380" s="1"/>
      <c r="AH380" s="1"/>
    </row>
    <row r="381" spans="1:34">
      <c r="A381" s="1"/>
      <c r="D381" s="10"/>
      <c r="AG381" s="1"/>
      <c r="AH381" s="1"/>
    </row>
    <row r="382" spans="1:34">
      <c r="A382" s="1"/>
      <c r="D382" s="10"/>
      <c r="AG382" s="1"/>
      <c r="AH382" s="1"/>
    </row>
    <row r="383" spans="1:34">
      <c r="A383" s="1"/>
      <c r="D383" s="10"/>
      <c r="AG383" s="1"/>
      <c r="AH383" s="1"/>
    </row>
    <row r="384" spans="1:34">
      <c r="A384" s="1"/>
      <c r="D384" s="10"/>
      <c r="AG384" s="1"/>
      <c r="AH384" s="1"/>
    </row>
  </sheetData>
  <autoFilter ref="A9:AH314" xr:uid="{00000000-0001-0000-0000-000000000000}">
    <sortState xmlns:xlrd2="http://schemas.microsoft.com/office/spreadsheetml/2017/richdata2" ref="A10:AH314">
      <sortCondition ref="C9:C314"/>
    </sortState>
  </autoFilter>
  <mergeCells count="35">
    <mergeCell ref="A1:E1"/>
    <mergeCell ref="A5:E6"/>
    <mergeCell ref="E7:E8"/>
    <mergeCell ref="B7:D7"/>
    <mergeCell ref="B3:E4"/>
    <mergeCell ref="A3:A4"/>
    <mergeCell ref="B2:E2"/>
    <mergeCell ref="AG1:AH4"/>
    <mergeCell ref="O1:P1"/>
    <mergeCell ref="O3:P3"/>
    <mergeCell ref="AH6:AH8"/>
    <mergeCell ref="AD7:AF7"/>
    <mergeCell ref="Y6:Y8"/>
    <mergeCell ref="X6:X8"/>
    <mergeCell ref="AG6:AG8"/>
    <mergeCell ref="Z6:AC6"/>
    <mergeCell ref="AB7:AC7"/>
    <mergeCell ref="AD6:AF6"/>
    <mergeCell ref="Z7:AA7"/>
    <mergeCell ref="O5:P5"/>
    <mergeCell ref="Q4:R4"/>
    <mergeCell ref="Q3:R3"/>
    <mergeCell ref="Q5:R5"/>
    <mergeCell ref="Y1:AF5"/>
    <mergeCell ref="Q1:R1"/>
    <mergeCell ref="I6:W8"/>
    <mergeCell ref="S1:T1"/>
    <mergeCell ref="S5:T5"/>
    <mergeCell ref="S3:T3"/>
    <mergeCell ref="H6:H8"/>
    <mergeCell ref="F1:F4"/>
    <mergeCell ref="I3:K3"/>
    <mergeCell ref="I5:K5"/>
    <mergeCell ref="L1:M1"/>
    <mergeCell ref="I1:K1"/>
  </mergeCells>
  <phoneticPr fontId="12" type="noConversion"/>
  <conditionalFormatting sqref="B10:B314">
    <cfRule type="expression" dxfId="4" priority="71">
      <formula>(WEEKDAY( INDIRECT(ADDRESS(ROW(),COLUMN())) ) = 2)</formula>
    </cfRule>
    <cfRule type="expression" dxfId="3" priority="72">
      <formula>(WEEKDAY( INDIRECT(ADDRESS(ROW(),COLUMN())) ) =3)</formula>
    </cfRule>
    <cfRule type="expression" dxfId="2" priority="73">
      <formula>(WEEKDAY( INDIRECT(ADDRESS(ROW(),COLUMN())) ) =4)</formula>
    </cfRule>
    <cfRule type="expression" dxfId="1" priority="74">
      <formula>(WEEKDAY( INDIRECT(ADDRESS(ROW(),COLUMN())) ) =5)</formula>
    </cfRule>
    <cfRule type="expression" dxfId="0" priority="75">
      <formula>(WEEKDAY( INDIRECT(ADDRESS(ROW(),COLUMN())) ) =6)</formula>
    </cfRule>
  </conditionalFormatting>
  <pageMargins left="0.39370078740157477" right="0.39370078740157477" top="0.39370078740157477" bottom="0.39370078740157477" header="0.31496062992125984" footer="0.31496062992125984"/>
  <pageSetup paperSize="9" scale="24" fitToHeight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8286ce-0c4a-47b7-93b0-bbc4a1b88318">
      <Terms xmlns="http://schemas.microsoft.com/office/infopath/2007/PartnerControls"/>
    </lcf76f155ced4ddcb4097134ff3c332f>
    <TaxCatchAll xmlns="c2a135b3-b25b-493f-88d6-0be6a6ee5d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D222E0F5CE74BA51D24CAE1BB86C0" ma:contentTypeVersion="11" ma:contentTypeDescription="Create a new document." ma:contentTypeScope="" ma:versionID="b7efcd1e8fe5d0a8a716469502ce06dd">
  <xsd:schema xmlns:xsd="http://www.w3.org/2001/XMLSchema" xmlns:xs="http://www.w3.org/2001/XMLSchema" xmlns:p="http://schemas.microsoft.com/office/2006/metadata/properties" xmlns:ns2="178286ce-0c4a-47b7-93b0-bbc4a1b88318" xmlns:ns3="c2a135b3-b25b-493f-88d6-0be6a6ee5d50" targetNamespace="http://schemas.microsoft.com/office/2006/metadata/properties" ma:root="true" ma:fieldsID="5ae5b2710b45d51feb35f93c1cf68273" ns2:_="" ns3:_="">
    <xsd:import namespace="178286ce-0c4a-47b7-93b0-bbc4a1b88318"/>
    <xsd:import namespace="c2a135b3-b25b-493f-88d6-0be6a6ee5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286ce-0c4a-47b7-93b0-bbc4a1b88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2170c6a-3c1e-44b5-95ed-5ceb41d8bc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135b3-b25b-493f-88d6-0be6a6ee5d5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df3a70-ca2c-473f-a30e-337f1f0b6115}" ma:internalName="TaxCatchAll" ma:showField="CatchAllData" ma:web="c2a135b3-b25b-493f-88d6-0be6a6ee5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E6C16B-F526-44E0-99EC-E8CBF46D26D7}">
  <ds:schemaRefs>
    <ds:schemaRef ds:uri="http://schemas.microsoft.com/office/infopath/2007/PartnerControls"/>
    <ds:schemaRef ds:uri="c2a135b3-b25b-493f-88d6-0be6a6ee5d50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178286ce-0c4a-47b7-93b0-bbc4a1b8831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E7FBF8-E314-4660-B883-A44D76411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19C47-50AA-4A14-9CC5-0658B5ADE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286ce-0c4a-47b7-93b0-bbc4a1b88318"/>
    <ds:schemaRef ds:uri="c2a135b3-b25b-493f-88d6-0be6a6ee5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</dc:creator>
  <cp:keywords/>
  <dc:description/>
  <cp:lastModifiedBy>Benjamin Gunia</cp:lastModifiedBy>
  <cp:revision>1</cp:revision>
  <cp:lastPrinted>2025-06-23T09:12:21Z</cp:lastPrinted>
  <dcterms:created xsi:type="dcterms:W3CDTF">2019-08-30T12:29:04Z</dcterms:created>
  <dcterms:modified xsi:type="dcterms:W3CDTF">2025-08-06T08:27:05Z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0x0101001E3D222E0F5CE74BA51D24CAE1BB86C0</vt:lpwstr>
  </property>
</Properties>
</file>